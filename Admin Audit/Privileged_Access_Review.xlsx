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Dashboard" sheetId="1" state="visible" r:id="rId1"/>
    <sheet name="How to Use" sheetId="2" state="visible" r:id="rId2"/>
    <sheet name="People" sheetId="3" state="visible" r:id="rId3"/>
    <sheet name="Cloud Admins" sheetId="4" state="visible" r:id="rId4"/>
    <sheet name="On-Prem Admins" sheetId="5" state="visible" r:id="rId5"/>
    <sheet name="Role Tiers" sheetId="6" state="visible" r:id="rId6"/>
    <sheet name="Reference" sheetId="7" state="visible" r:id="rId7"/>
  </sheets>
  <definedNames>
    <definedName name="_xlnm._FilterDatabase" localSheetId="2" hidden="1">'People'!$A$1:$Z$301</definedName>
    <definedName name="_xlnm._FilterDatabase" localSheetId="3" hidden="1">'Cloud Admins'!$A$1:$AR$301</definedName>
    <definedName name="_xlnm._FilterDatabase" localSheetId="4" hidden="1">'On-Prem Admins'!$A$1:$AK$301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6"/>
    </font>
    <font>
      <name val="Arial"/>
      <charset val="1"/>
      <family val="0"/>
      <i val="1"/>
      <color rgb="FF595959"/>
      <sz val="10"/>
    </font>
    <font>
      <name val="Arial"/>
      <charset val="1"/>
      <family val="0"/>
      <b val="1"/>
      <color rgb="FFFFFFFF"/>
      <sz val="11"/>
    </font>
    <font>
      <name val="Arial"/>
      <charset val="1"/>
      <family val="0"/>
      <b val="1"/>
      <sz val="10"/>
    </font>
    <font>
      <name val="Arial"/>
      <charset val="1"/>
      <family val="0"/>
      <i val="1"/>
      <color rgb="FF595959"/>
      <sz val="9"/>
    </font>
    <font>
      <name val="Arial"/>
      <charset val="1"/>
      <family val="0"/>
      <sz val="10"/>
    </font>
    <font>
      <name val="Arial"/>
      <charset val="1"/>
      <family val="0"/>
      <i val="1"/>
      <color rgb="FFC00000"/>
      <sz val="9"/>
    </font>
    <font>
      <name val="Arial"/>
      <charset val="1"/>
      <family val="0"/>
      <b val="1"/>
      <color rgb="FF1F3864"/>
      <sz val="12"/>
    </font>
    <font>
      <name val="Arial"/>
      <charset val="1"/>
      <family val="0"/>
      <b val="1"/>
      <color rgb="FFFFFFFF"/>
      <sz val="10"/>
    </font>
    <font>
      <name val="Arial"/>
      <charset val="1"/>
      <family val="0"/>
      <color rgb="FF000000"/>
      <sz val="10"/>
    </font>
    <font>
      <name val="Arial"/>
      <family val="2"/>
      <sz val="10"/>
    </font>
    <font>
      <name val="Arial"/>
      <charset val="1"/>
      <family val="0"/>
      <b val="1"/>
      <color rgb="FF9C0006"/>
      <sz val="10"/>
    </font>
    <font>
      <name val="Arial"/>
      <charset val="1"/>
      <family val="0"/>
      <color rgb="FF9C6500"/>
      <sz val="10"/>
    </font>
    <font>
      <name val="Arial"/>
      <charset val="1"/>
      <family val="0"/>
      <b val="1"/>
      <color rgb="FF1F3864"/>
      <sz val="10"/>
    </font>
  </fonts>
  <fills count="13">
    <fill>
      <patternFill/>
    </fill>
    <fill>
      <patternFill patternType="gray125"/>
    </fill>
    <fill>
      <patternFill patternType="solid">
        <fgColor rgb="FF1F3864"/>
        <bgColor rgb="FF1F4E79"/>
      </patternFill>
    </fill>
    <fill>
      <patternFill patternType="solid">
        <fgColor rgb="FF2E5496"/>
        <bgColor rgb="FF1F4E79"/>
      </patternFill>
    </fill>
    <fill>
      <patternFill patternType="solid">
        <fgColor rgb="FF5B2C6F"/>
        <bgColor rgb="FF1F3864"/>
      </patternFill>
    </fill>
    <fill>
      <patternFill patternType="solid">
        <fgColor rgb="FF385723"/>
        <bgColor rgb="FF595959"/>
      </patternFill>
    </fill>
    <fill>
      <patternFill patternType="solid">
        <fgColor rgb="FF595959"/>
        <bgColor rgb="FF385723"/>
      </patternFill>
    </fill>
    <fill>
      <patternFill patternType="solid">
        <fgColor rgb="FFFFF2CC"/>
        <bgColor rgb="FFFFEB9C"/>
      </patternFill>
    </fill>
    <fill>
      <patternFill patternType="solid">
        <fgColor rgb="FF1F4E79"/>
        <bgColor rgb="FF2E5496"/>
      </patternFill>
    </fill>
    <fill>
      <patternFill patternType="solid">
        <fgColor rgb="FF833C0B"/>
        <bgColor rgb="FF993366"/>
      </patternFill>
    </fill>
    <fill>
      <patternFill patternType="solid">
        <fgColor rgb="FFFFC7CE"/>
        <bgColor rgb="FFD9E2F3"/>
      </patternFill>
    </fill>
    <fill>
      <patternFill patternType="solid">
        <fgColor rgb="FFFFEB9C"/>
        <bgColor rgb="FFFFF2CC"/>
      </patternFill>
    </fill>
    <fill>
      <patternFill patternType="solid">
        <fgColor rgb="FFD9E2F3"/>
        <bgColor rgb="FFC6EF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3" borderId="0" applyAlignment="1" pivotButton="0" quotePrefix="0" xfId="0">
      <alignment horizontal="general" vertical="bottom"/>
    </xf>
    <xf numFmtId="0" fontId="6" fillId="3" borderId="0" applyAlignment="1" pivotButton="0" quotePrefix="0" xfId="0">
      <alignment horizontal="center" vertical="bottom"/>
    </xf>
    <xf numFmtId="0" fontId="7" fillId="0" borderId="1" applyAlignment="1" pivotButton="0" quotePrefix="0" xfId="0">
      <alignment horizontal="general" vertical="bottom"/>
    </xf>
    <xf numFmtId="3" fontId="7" fillId="0" borderId="1" applyAlignment="1" pivotButton="0" quotePrefix="0" xfId="0">
      <alignment horizontal="center" vertical="bottom"/>
    </xf>
    <xf numFmtId="0" fontId="8" fillId="0" borderId="1" applyAlignment="1" pivotButton="0" quotePrefix="0" xfId="0">
      <alignment horizontal="general" vertical="center" wrapText="1"/>
    </xf>
    <xf numFmtId="0" fontId="9" fillId="0" borderId="1" applyAlignment="1" pivotButton="0" quotePrefix="0" xfId="0">
      <alignment horizontal="general" vertical="bottom"/>
    </xf>
    <xf numFmtId="9" fontId="7" fillId="0" borderId="1" applyAlignment="1" pivotButton="0" quotePrefix="0" xfId="0">
      <alignment horizontal="center" vertical="bottom"/>
    </xf>
    <xf numFmtId="0" fontId="10" fillId="0" borderId="0" applyAlignment="1" pivotButton="0" quotePrefix="0" xfId="0">
      <alignment horizontal="general" vertical="bottom"/>
    </xf>
    <xf numFmtId="0" fontId="4" fillId="2" borderId="0" applyAlignment="1" pivotButton="0" quotePrefix="0" xfId="0">
      <alignment horizontal="general" vertical="top" wrapText="1"/>
    </xf>
    <xf numFmtId="0" fontId="9" fillId="0" borderId="0" applyAlignment="1" pivotButton="0" quotePrefix="0" xfId="0">
      <alignment horizontal="general" vertical="top" wrapText="1"/>
    </xf>
    <xf numFmtId="0" fontId="11" fillId="0" borderId="0" applyAlignment="1" pivotButton="0" quotePrefix="0" xfId="0">
      <alignment horizontal="general" vertical="top" wrapText="1"/>
    </xf>
    <xf numFmtId="0" fontId="12" fillId="4" borderId="1" applyAlignment="1" pivotButton="0" quotePrefix="0" xfId="0">
      <alignment horizontal="center" vertical="center" wrapText="1"/>
    </xf>
    <xf numFmtId="0" fontId="12"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3" fillId="7" borderId="1" applyAlignment="1" pivotButton="0" quotePrefix="0" xfId="0">
      <alignment horizontal="general" vertical="top"/>
    </xf>
    <xf numFmtId="0" fontId="13" fillId="7" borderId="1" applyAlignment="1" pivotButton="0" quotePrefix="0" xfId="0">
      <alignment horizontal="general" vertical="top" wrapText="1"/>
    </xf>
    <xf numFmtId="164" fontId="13" fillId="7" borderId="1" applyAlignment="1" pivotButton="0" quotePrefix="0" xfId="0">
      <alignment horizontal="general" vertical="top"/>
    </xf>
    <xf numFmtId="0" fontId="5" fillId="7" borderId="1" applyAlignment="1" pivotButton="0" quotePrefix="0" xfId="0">
      <alignment horizontal="general" vertical="top"/>
    </xf>
    <xf numFmtId="0" fontId="13" fillId="0" borderId="1" applyAlignment="1" pivotButton="0" quotePrefix="0" xfId="0">
      <alignment horizontal="general" vertical="top"/>
    </xf>
    <xf numFmtId="0" fontId="13" fillId="0" borderId="1" applyAlignment="1" pivotButton="0" quotePrefix="0" xfId="0">
      <alignment horizontal="general" vertical="top" wrapText="1"/>
    </xf>
    <xf numFmtId="164" fontId="13" fillId="0" borderId="1" applyAlignment="1" pivotButton="0" quotePrefix="0" xfId="0">
      <alignment horizontal="general" vertical="top"/>
    </xf>
    <xf numFmtId="0" fontId="5" fillId="0" borderId="1" applyAlignment="1" pivotButton="0" quotePrefix="0" xfId="0">
      <alignment horizontal="general" vertical="top"/>
    </xf>
    <xf numFmtId="0" fontId="12" fillId="8" borderId="1" applyAlignment="1" pivotButton="0" quotePrefix="0" xfId="0">
      <alignment horizontal="center" vertical="center" wrapText="1"/>
    </xf>
    <xf numFmtId="0" fontId="5" fillId="7" borderId="1" applyAlignment="1" pivotButton="0" quotePrefix="0" xfId="0">
      <alignment horizontal="general" vertical="top"/>
    </xf>
    <xf numFmtId="0" fontId="5" fillId="7"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9" borderId="1" applyAlignment="1" pivotButton="0" quotePrefix="0" xfId="0">
      <alignment horizontal="center" vertical="center" wrapText="1"/>
    </xf>
    <xf numFmtId="0" fontId="10" fillId="0" borderId="0" applyAlignment="1" pivotButton="0" quotePrefix="0" xfId="0">
      <alignment horizontal="general" vertical="bottom"/>
    </xf>
    <xf numFmtId="0" fontId="12" fillId="3" borderId="1" applyAlignment="1" pivotButton="0" quotePrefix="0" xfId="0">
      <alignment horizontal="center" vertical="bottom" wrapText="1"/>
    </xf>
    <xf numFmtId="0" fontId="15" fillId="10" borderId="1" applyAlignment="1" pivotButton="0" quotePrefix="0" xfId="0">
      <alignment horizontal="center" vertical="top"/>
    </xf>
    <xf numFmtId="0" fontId="9" fillId="0" borderId="1" applyAlignment="1" pivotButton="0" quotePrefix="0" xfId="0">
      <alignment horizontal="left" vertical="top"/>
    </xf>
    <xf numFmtId="0" fontId="9" fillId="0" borderId="1" applyAlignment="1" pivotButton="0" quotePrefix="0" xfId="0">
      <alignment horizontal="left" vertical="top" wrapText="1"/>
    </xf>
    <xf numFmtId="0" fontId="16" fillId="11" borderId="1" applyAlignment="1" pivotButton="0" quotePrefix="0" xfId="0">
      <alignment horizontal="center" vertical="top"/>
    </xf>
    <xf numFmtId="0" fontId="7" fillId="0" borderId="1" applyAlignment="1" pivotButton="0" quotePrefix="0" xfId="0">
      <alignment horizontal="center" vertical="top"/>
    </xf>
    <xf numFmtId="0" fontId="17" fillId="12" borderId="1" applyAlignment="1" pivotButton="0" quotePrefix="0" xfId="0">
      <alignment horizontal="center"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3" borderId="0" applyAlignment="1" pivotButton="0" quotePrefix="0" xfId="0">
      <alignment horizontal="general" vertical="bottom"/>
    </xf>
    <xf numFmtId="0" fontId="6" fillId="3" borderId="0" applyAlignment="1" pivotButton="0" quotePrefix="0" xfId="0">
      <alignment horizontal="center" vertical="bottom"/>
    </xf>
    <xf numFmtId="0" fontId="7" fillId="0" borderId="1" applyAlignment="1" pivotButton="0" quotePrefix="0" xfId="0">
      <alignment horizontal="general" vertical="bottom"/>
    </xf>
    <xf numFmtId="3" fontId="7" fillId="0" borderId="1" applyAlignment="1" pivotButton="0" quotePrefix="0" xfId="0">
      <alignment horizontal="center" vertical="bottom"/>
    </xf>
    <xf numFmtId="0" fontId="8" fillId="0" borderId="1" applyAlignment="1" pivotButton="0" quotePrefix="0" xfId="0">
      <alignment horizontal="general" vertical="center" wrapText="1"/>
    </xf>
    <xf numFmtId="0" fontId="9" fillId="0" borderId="1" applyAlignment="1" pivotButton="0" quotePrefix="0" xfId="0">
      <alignment horizontal="general" vertical="bottom"/>
    </xf>
    <xf numFmtId="9" fontId="7" fillId="0" borderId="1" applyAlignment="1" pivotButton="0" quotePrefix="0" xfId="0">
      <alignment horizontal="center" vertical="bottom"/>
    </xf>
    <xf numFmtId="0" fontId="10" fillId="0" borderId="0" applyAlignment="1" pivotButton="0" quotePrefix="0" xfId="0">
      <alignment horizontal="general" vertical="bottom"/>
    </xf>
    <xf numFmtId="0" fontId="4" fillId="2" borderId="0" applyAlignment="1" pivotButton="0" quotePrefix="0" xfId="0">
      <alignment horizontal="general" vertical="top" wrapText="1"/>
    </xf>
    <xf numFmtId="0" fontId="9" fillId="0" borderId="0" applyAlignment="1" pivotButton="0" quotePrefix="0" xfId="0">
      <alignment horizontal="general" vertical="top" wrapText="1"/>
    </xf>
    <xf numFmtId="0" fontId="11" fillId="0" borderId="0" applyAlignment="1" pivotButton="0" quotePrefix="0" xfId="0">
      <alignment horizontal="general" vertical="top" wrapText="1"/>
    </xf>
    <xf numFmtId="0" fontId="12" fillId="4" borderId="1" applyAlignment="1" pivotButton="0" quotePrefix="0" xfId="0">
      <alignment horizontal="center" vertical="center" wrapText="1"/>
    </xf>
    <xf numFmtId="0" fontId="12"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3" fillId="7" borderId="1" applyAlignment="1" pivotButton="0" quotePrefix="0" xfId="0">
      <alignment horizontal="general" vertical="top"/>
    </xf>
    <xf numFmtId="0" fontId="13" fillId="7" borderId="1" applyAlignment="1" pivotButton="0" quotePrefix="0" xfId="0">
      <alignment horizontal="general" vertical="top" wrapText="1"/>
    </xf>
    <xf numFmtId="164" fontId="13" fillId="7" borderId="1" applyAlignment="1" pivotButton="0" quotePrefix="0" xfId="0">
      <alignment horizontal="general" vertical="top"/>
    </xf>
    <xf numFmtId="0" fontId="5" fillId="7" borderId="1" applyAlignment="1" pivotButton="0" quotePrefix="0" xfId="0">
      <alignment horizontal="general" vertical="top"/>
    </xf>
    <xf numFmtId="0" fontId="13" fillId="0" borderId="1" applyAlignment="1" pivotButton="0" quotePrefix="0" xfId="0">
      <alignment horizontal="general" vertical="top"/>
    </xf>
    <xf numFmtId="0" fontId="13" fillId="0" borderId="1" applyAlignment="1" pivotButton="0" quotePrefix="0" xfId="0">
      <alignment horizontal="general" vertical="top" wrapText="1"/>
    </xf>
    <xf numFmtId="164" fontId="13" fillId="0" borderId="1" applyAlignment="1" pivotButton="0" quotePrefix="0" xfId="0">
      <alignment horizontal="general" vertical="top"/>
    </xf>
    <xf numFmtId="0" fontId="5" fillId="0" borderId="1" applyAlignment="1" pivotButton="0" quotePrefix="0" xfId="0">
      <alignment horizontal="general" vertical="top"/>
    </xf>
    <xf numFmtId="0" fontId="12" fillId="8" borderId="1" applyAlignment="1" pivotButton="0" quotePrefix="0" xfId="0">
      <alignment horizontal="center" vertical="center" wrapText="1"/>
    </xf>
    <xf numFmtId="0" fontId="5" fillId="7"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9" borderId="1" applyAlignment="1" pivotButton="0" quotePrefix="0" xfId="0">
      <alignment horizontal="center" vertical="center" wrapText="1"/>
    </xf>
    <xf numFmtId="0" fontId="12" fillId="3" borderId="1" applyAlignment="1" pivotButton="0" quotePrefix="0" xfId="0">
      <alignment horizontal="center" vertical="bottom" wrapText="1"/>
    </xf>
    <xf numFmtId="0" fontId="15" fillId="10" borderId="1" applyAlignment="1" pivotButton="0" quotePrefix="0" xfId="0">
      <alignment horizontal="center" vertical="top"/>
    </xf>
    <xf numFmtId="0" fontId="9" fillId="0" borderId="1" applyAlignment="1" pivotButton="0" quotePrefix="0" xfId="0">
      <alignment horizontal="left" vertical="top"/>
    </xf>
    <xf numFmtId="0" fontId="9" fillId="0" borderId="1" applyAlignment="1" pivotButton="0" quotePrefix="0" xfId="0">
      <alignment horizontal="left" vertical="top" wrapText="1"/>
    </xf>
    <xf numFmtId="0" fontId="16" fillId="11" borderId="1" applyAlignment="1" pivotButton="0" quotePrefix="0" xfId="0">
      <alignment horizontal="center" vertical="top"/>
    </xf>
    <xf numFmtId="0" fontId="7" fillId="0" borderId="1" applyAlignment="1" pivotButton="0" quotePrefix="0" xfId="0">
      <alignment horizontal="center" vertical="top"/>
    </xf>
    <xf numFmtId="0" fontId="17" fillId="12" borderId="1" applyAlignment="1" pivotButton="0" quotePrefix="0" xfId="0">
      <alignment horizontal="center"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6">
    <dxf>
      <fill>
        <patternFill patternType="solid">
          <fgColor rgb="FF5B2C6F"/>
          <bgColor rgb="FF000000"/>
        </patternFill>
      </fill>
    </dxf>
    <dxf>
      <fill>
        <patternFill patternType="solid">
          <fgColor rgb="FFFFF2C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9C0006"/>
          <bgColor rgb="FF000000"/>
        </patternFill>
      </fill>
    </dxf>
    <dxf>
      <fill>
        <patternFill patternType="solid">
          <fgColor rgb="FF385723"/>
          <bgColor rgb="FF000000"/>
        </patternFill>
      </fill>
    </dxf>
    <dxf>
      <fill>
        <patternFill patternType="solid">
          <fgColor rgb="FF595959"/>
          <bgColor rgb="FF000000"/>
        </patternFill>
      </fill>
    </dxf>
    <dxf>
      <font>
        <name val="Arial"/>
        <charset val="1"/>
        <family val="0"/>
        <b val="1"/>
        <color rgb="FF9C0006"/>
        <sz val="10"/>
      </font>
      <fill>
        <patternFill>
          <bgColor rgb="FFFFC7CE"/>
        </patternFill>
      </fill>
    </dxf>
    <dxf>
      <font>
        <name val="Arial"/>
        <charset val="1"/>
        <family val="0"/>
        <color rgb="FF9C6500"/>
        <sz val="10"/>
      </font>
      <fill>
        <patternFill>
          <bgColor rgb="FFFFEB9C"/>
        </patternFill>
      </fill>
    </dxf>
    <dxf>
      <font>
        <name val="Arial"/>
        <charset val="1"/>
        <family val="0"/>
        <color rgb="FF006100"/>
        <sz val="10"/>
      </font>
      <fill>
        <patternFill>
          <bgColor rgb="FFC6EFCE"/>
        </patternFill>
      </fill>
    </dxf>
    <dxf>
      <fill>
        <patternFill patternType="solid">
          <fgColor rgb="FF1F4E79"/>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B"/>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2CC"/>
      <rgbColor rgb="FFCCFFFF"/>
      <rgbColor rgb="FF5B2C6F"/>
      <rgbColor rgb="FFFF8080"/>
      <rgbColor rgb="FF1F4E79"/>
      <rgbColor rgb="FFD9E2F3"/>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BF9000"/>
      <rgbColor rgb="FFFF6600"/>
      <rgbColor rgb="FF595959"/>
      <rgbColor rgb="FF969696"/>
      <rgbColor rgb="FF1F3864"/>
      <rgbColor rgb="FF339966"/>
      <rgbColor rgb="FF003300"/>
      <rgbColor rgb="FF333300"/>
      <rgbColor rgb="FF833C0B"/>
      <rgbColor rgb="FF993366"/>
      <rgbColor rgb="FF2E5496"/>
      <rgbColor rgb="FF3857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Unknown Author</author>
  </authors>
  <commentList>
    <comment ref="J1" authorId="0" shapeId="0">
      <text>
        <t>Role-assignable groups granting this person privilege. Removing someone from one of these is often the cleanest remediation.</t>
      </text>
    </comment>
    <comment ref="R1" authorId="0" shapeId="0">
      <text>
        <t>The reason this tab exists. Cloud and on-prem admin accounts never mix, but the person does - compromising this individual once reaches both control planes.</t>
      </text>
    </comment>
    <comment ref="T1" authorId="0" shapeId="0">
      <text>
        <t>An enabled admin account whose standard account is disabled or missing. Almost always a leaver. Start here.</t>
      </text>
    </comment>
    <comment ref="W1" authorId="0" shapeId="0">
      <text>
        <t>Has the account holder self-reviewed and confirmed this access is still required, across all their admin accounts, in the current Access Review cycle? Tier 0 approvals also route through a second reviewer before being trusted (see Review Decision on the Cloud/On-Prem Admins tabs). This is what an access review actually is now.</t>
      </text>
    </comment>
    <comment ref="Y1" authorId="0" shapeId="0">
      <text>
        <t>Computed from Self-Reviewed and Last Reviewed. At Risk means there is no current self-review on file - not confirmed, no date recorded, or the last one is more than 90 days old - so access is removed automatically if this stays unaddressed.</t>
      </text>
    </comment>
  </commentList>
</comments>
</file>

<file path=xl/comments/comment2.xml><?xml version="1.0" encoding="utf-8"?>
<comments xmlns="http://schemas.openxmlformats.org/spreadsheetml/2006/main">
  <authors>
    <author>Unknown Author</author>
  </authors>
  <commentList>
    <comment ref="D1" authorId="0" shapeId="0">
      <text>
        <t>Join key to the People tab. Derived by stripping the .azr suffix.</t>
      </text>
    </comment>
    <comment ref="I1" authorId="0" shapeId="0">
      <text>
        <t>FIDO2, Windows Hello for Business or certificate-based. Anything else is phishable, and a phished Tier 0 admin is a tenant compromise.</t>
      </text>
    </comment>
    <comment ref="K1" authorId="0" shapeId="0">
      <text>
        <t>Permanently assigned. Standing privilege - live every hour of every day, whether in use or not.</t>
      </text>
    </comment>
    <comment ref="L1" authorId="0" shapeId="0">
      <text>
        <t>PIM-eligible. Requires activation, so privilege exists only during a defined window.</t>
      </text>
    </comment>
    <comment ref="R1" authorId="0" shapeId="0">
      <text>
        <t>Yes means at least one Azure assignment sits at subscription or management group scope, so it covers resources that do not exist yet.</t>
      </text>
    </comment>
    <comment ref="S1" authorId="0" shapeId="0">
      <text>
        <t>Direct only, Group only, or both. 'Group only' accounts hold no direct assignment at all - they are invisible to any review that matches on the user object alone.</t>
      </text>
    </comment>
    <comment ref="T1" authorId="0" shapeId="0">
      <text>
        <t>Every role-assignable group granting this account a role, in either plane. Expanded transitively, so nested membership is included.</t>
      </text>
    </comment>
    <comment ref="U1" authorId="0" shapeId="0">
      <text>
        <t>Object IDs of the granting groups. Use these to trace the assignment, or to feed a group-membership review.</t>
      </text>
    </comment>
    <comment ref="X1" authorId="0" shapeId="0">
      <text>
        <t>Non-tenant-wide directory scopes. A role limited to one Administrative Unit is narrower than it looks - do not read it as full-tenant privilege.</t>
      </text>
    </comment>
    <comment ref="Y1" authorId="0" shapeId="0">
      <text>
        <t>0 = control plane. See the Role Tiers tab.</t>
      </text>
    </comment>
    <comment ref="AA1" authorId="0" shapeId="0">
      <text>
        <t>'No' or 'NOT FOUND' against an enabled admin account usually means a leaver whose admin account was missed at offboarding.</t>
      </text>
    </comment>
    <comment ref="AF1" authorId="0" shapeId="0">
      <text>
        <t>Yes means at least one permanently assigned directory role. Converting these to PIM-eligible is the single highest-value change available.</t>
      </text>
    </comment>
    <comment ref="AJ1" authorId="0" shapeId="0">
      <text>
        <t>Why does this person need this level of access? 'They are in the infrastructure team' is a description, not a justification.</t>
      </text>
    </comment>
    <comment ref="AK1" authorId="0" shapeId="0">
      <text>
        <t>Who or what rendered the decision: the account holder (Self), the system after no response (Auto), a Tier 0 escalation reviewer, or a manual security-team override.</t>
      </text>
    </comment>
    <comment ref="AM1" authorId="0" shapeId="0">
      <text>
        <t>Populated from the recurring Access Review's next scheduled instance for this account, not set by hand. Blank means it isn't enrolled in a review cycle yet - a finding on a Tier 0/1 account.</t>
      </text>
    </comment>
    <comment ref="AQ1" authorId="0" shapeId="0">
      <text>
        <t>Computed from Next Review Due. Not Enrolled means no review is scheduled for this account yet; Review Overdue means the scheduled review date has passed without a recorded outcome here.</t>
      </text>
    </comment>
  </commentList>
</comments>
</file>

<file path=xl/comments/comment3.xml><?xml version="1.0" encoding="utf-8"?>
<comments xmlns="http://schemas.openxmlformats.org/spreadsheetml/2006/main">
  <authors>
    <author>Unknown Author</author>
  </authors>
  <commentList>
    <comment ref="E1" authorId="0" shapeId="0">
      <text>
        <t>Join key to the People tab. Derived by stripping the -a suffix.</t>
      </text>
    </comment>
    <comment ref="H1" authorId="0" shapeId="0">
      <text>
        <t>From lastLogonTimestamp, which replicates lazily and can sit up to 14 days behind. Approximate by design.</t>
      </text>
    </comment>
    <comment ref="L1" authorId="0" shapeId="0">
      <text>
        <t>The on-prem equivalent of phishing-resistant authentication. A Tier 0 account on a password alone is the same weakness as a cloud admin without FIDO2.</t>
      </text>
    </comment>
    <comment ref="M1" authorId="0" shapeId="0">
      <text>
        <t>Resolved recursively, so nested membership is included.</t>
      </text>
    </comment>
    <comment ref="AC1" authorId="0" shapeId="0">
      <text>
        <t>Why does this person need this level of access? 'They are in the infrastructure team' is a description, not a justification.</t>
      </text>
    </comment>
    <comment ref="AD1" authorId="0" shapeId="0">
      <text>
        <t>Who or what rendered the decision: the account holder (Self), the system after no response (Auto), a Tier 0 escalation reviewer, or a manual security-team override.</t>
      </text>
    </comment>
    <comment ref="AF1" authorId="0" shapeId="0">
      <text>
        <t>Populated from the recurring Access Review's next scheduled instance for this account, not set by hand. Blank means it isn't enrolled in a review cycle yet - a finding on a Tier 0/1 account.</t>
      </text>
    </comment>
    <comment ref="AJ1" authorId="0" shapeId="0">
      <text>
        <t>Computed from Next Review Due. Not Enrolled means no review is scheduled for this account yet; Review Overdue means the scheduled review date has passed without a recorded outcome here.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filterMode="0">
    <tabColor rgb="FFC00000"/>
    <outlinePr summaryBelow="1" summaryRight="1"/>
    <pageSetUpPr fitToPage="0"/>
  </sheetPr>
  <dimension ref="B2:D4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38" min="1" max="1"/>
    <col width="52" customWidth="1" style="38" min="2" max="2"/>
    <col width="14" customWidth="1" style="38" min="3" max="3"/>
    <col width="62" customWidth="1" style="38" min="4" max="4"/>
  </cols>
  <sheetData>
    <row r="2" ht="27.75" customHeight="1" s="39">
      <c r="B2" s="40" t="inlineStr">
        <is>
          <t>Privileged Access Review - Dashboard</t>
        </is>
      </c>
    </row>
    <row r="3" ht="15" customHeight="1" s="39">
      <c r="B3" s="41" t="inlineStr">
        <is>
          <t>People, not accounts. Press F9 if calculation is set to manual.</t>
        </is>
      </c>
    </row>
    <row r="5" ht="15" customHeight="1" s="39">
      <c r="B5" s="42" t="inlineStr">
        <is>
          <t>PEOPLE</t>
        </is>
      </c>
      <c r="C5" s="43" t="inlineStr">
        <is>
          <t>Value</t>
        </is>
      </c>
      <c r="D5" s="42" t="inlineStr">
        <is>
          <t>Why it matters</t>
        </is>
      </c>
    </row>
    <row r="6" ht="30" customHeight="1" s="39">
      <c r="B6" s="44" t="inlineStr">
        <is>
          <t>People holding privileged access</t>
        </is>
      </c>
      <c r="C6" s="45">
        <f>COUNTA(People!$A$2:$A$301)</f>
        <v/>
      </c>
      <c r="D6" s="46" t="inlineStr">
        <is>
          <t>One row per human, not per account.</t>
        </is>
      </c>
    </row>
    <row r="7" ht="30" customHeight="1" s="39">
      <c r="B7" s="44" t="inlineStr">
        <is>
          <t>Tier 0 in at least one plane</t>
        </is>
      </c>
      <c r="C7" s="45">
        <f>COUNTIF(People!$S$2:$S$301,0)</f>
        <v/>
      </c>
      <c r="D7" s="46" t="inlineStr">
        <is>
          <t>Control plane. These people can grant themselves anything else.</t>
        </is>
      </c>
    </row>
    <row r="8" ht="30" customHeight="1" s="39">
      <c r="B8" s="44" t="inlineStr">
        <is>
          <t>PRIVILEGED IN BOTH PLANES</t>
        </is>
      </c>
      <c r="C8" s="45">
        <f>COUNTIF(People!$R$2:$R$301,"YES")</f>
        <v/>
      </c>
      <c r="D8" s="46" t="inlineStr">
        <is>
          <t>The reason this workbook is person-based. Accounts never mix; the human does. Compromise reaches both control planes at once.</t>
        </is>
      </c>
    </row>
    <row r="9" ht="30" customHeight="1" s="39">
      <c r="B9" s="44" t="inlineStr">
        <is>
          <t>Tier 0 in BOTH planes</t>
        </is>
      </c>
      <c r="C9" s="45">
        <f>COUNTIFS(People!$R$2:$R$301,"YES",People!$S$2:$S$301,0)</f>
        <v/>
      </c>
      <c r="D9" s="46" t="inlineStr">
        <is>
          <t>The shortest and most consequential list here.</t>
        </is>
      </c>
    </row>
    <row r="10" ht="30" customHeight="1" s="39">
      <c r="B10" s="44" t="inlineStr">
        <is>
          <t>ORPHANED admin accounts</t>
        </is>
      </c>
      <c r="C10" s="45">
        <f>COUNTIF(People!$T$2:$T$301,"YES")</f>
        <v/>
      </c>
      <c r="D10" s="46" t="inlineStr">
        <is>
          <t>Enabled admin account, standard account disabled or missing. Almost always a leaver whose admin objects were missed at offboarding. Start here.</t>
        </is>
      </c>
    </row>
    <row r="11" ht="30" customHeight="1" s="39">
      <c r="B11" s="47" t="inlineStr">
        <is>
          <t>Holding more than two admin accounts</t>
        </is>
      </c>
      <c r="C11" s="45">
        <f>COUNTIF(People!$U$2:$U$301,"&gt;2")</f>
        <v/>
      </c>
      <c r="D11" s="46" t="inlineStr">
        <is>
          <t>Account sprawl per individual.</t>
        </is>
      </c>
    </row>
    <row r="12" ht="30" customHeight="1" s="39">
      <c r="B12" s="44" t="inlineStr">
        <is>
          <t>Not self-reviewed this cycle</t>
        </is>
      </c>
      <c r="C12" s="45">
        <f>COUNTIFS(People!$A$2:$A$301,"&lt;&gt;",People!$W$2:$W$301,"&lt;&gt;Yes")</f>
        <v/>
      </c>
      <c r="D12" s="46" t="inlineStr">
        <is>
          <t>An access review here means the account holder confirms the access is still needed, with the decision recorded automatically. Until then this is an inventory, not a review.</t>
        </is>
      </c>
    </row>
    <row r="14" ht="15" customHeight="1" s="39">
      <c r="B14" s="42" t="inlineStr">
        <is>
          <t>CLOUD ADMINS (Entra + Azure)</t>
        </is>
      </c>
      <c r="C14" s="43" t="inlineStr">
        <is>
          <t>Value</t>
        </is>
      </c>
      <c r="D14" s="42" t="inlineStr">
        <is>
          <t>Why it matters</t>
        </is>
      </c>
    </row>
    <row r="15" ht="30" customHeight="1" s="39">
      <c r="B15" s="47" t="inlineStr">
        <is>
          <t>Cloud admin accounts</t>
        </is>
      </c>
      <c r="C15" s="45">
        <f>COUNTA('Cloud Admins'!$A$2:$A$301)</f>
        <v/>
      </c>
      <c r="D15" s="46" t="n"/>
    </row>
    <row r="16" ht="30" customHeight="1" s="39">
      <c r="B16" s="47" t="inlineStr">
        <is>
          <t>Tier 0</t>
        </is>
      </c>
      <c r="C16" s="45">
        <f>COUNTIF('Cloud Admins'!$Y$2:$Y$301,0)</f>
        <v/>
      </c>
      <c r="D16" s="46" t="inlineStr">
        <is>
          <t>Global Admin, Privileged Role Admin, Application Admin, Owner, User Access Admin.</t>
        </is>
      </c>
    </row>
    <row r="17" ht="30" customHeight="1" s="39">
      <c r="B17" s="44" t="inlineStr">
        <is>
          <t>Holding STANDING (permanent) roles</t>
        </is>
      </c>
      <c r="C17" s="45">
        <f>COUNTIF('Cloud Admins'!$AF$2:$AF$301,"Yes")</f>
        <v/>
      </c>
      <c r="D17" s="46" t="inlineStr">
        <is>
          <t>Live every hour of every day whether in use or not. Converting these to PIM-eligible is the highest-value change available here.</t>
        </is>
      </c>
    </row>
    <row r="18" ht="30" customHeight="1" s="39">
      <c r="B18" s="44" t="inlineStr">
        <is>
          <t>Tier 0 with standing roles</t>
        </is>
      </c>
      <c r="C18" s="45">
        <f>COUNTIFS('Cloud Admins'!$Y$2:$Y$301,0,'Cloud Admins'!$AF$2:$AF$301,"Yes")</f>
        <v/>
      </c>
      <c r="D18" s="46" t="inlineStr">
        <is>
          <t>Permanent control-plane privilege.</t>
        </is>
      </c>
    </row>
    <row r="19" ht="30" customHeight="1" s="39">
      <c r="B19" s="44" t="inlineStr">
        <is>
          <t>Enabled without phishing-resistant MFA</t>
        </is>
      </c>
      <c r="C19" s="45">
        <f>COUNTIFS('Cloud Admins'!$E$2:$E$301,"Yes",'Cloud Admins'!$I$2:$I$301,"No")</f>
        <v/>
      </c>
      <c r="D19" s="46" t="inlineStr">
        <is>
          <t>Push and SMS are phishable. A phished Tier 0 admin is a tenant compromise.</t>
        </is>
      </c>
    </row>
    <row r="20" ht="30" customHeight="1" s="39">
      <c r="B20" s="47" t="inlineStr">
        <is>
          <t>Enabled with NO MFA registered</t>
        </is>
      </c>
      <c r="C20" s="45">
        <f>COUNTIFS('Cloud Admins'!$E$2:$E$301,"Yes",'Cloud Admins'!$H$2:$H$301,"No")</f>
        <v/>
      </c>
      <c r="D20" s="46" t="inlineStr">
        <is>
          <t>Should be zero.</t>
        </is>
      </c>
    </row>
    <row r="21" ht="30" customHeight="1" s="39">
      <c r="B21" s="44" t="inlineStr">
        <is>
          <t>Privilege held via GROUP membership</t>
        </is>
      </c>
      <c r="C21" s="45">
        <f>COUNTIF('Cloud Admins'!$W$2:$W$301,"&gt;0")</f>
        <v/>
      </c>
      <c r="D21" s="46" t="inlineStr">
        <is>
          <t>Role-assignable group membership. Any review matching only on the user object would miss these entirely.</t>
        </is>
      </c>
    </row>
    <row r="22" ht="30" customHeight="1" s="39">
      <c r="B22" s="44" t="inlineStr">
        <is>
          <t xml:space="preserve">  ... holding NO direct assignment</t>
        </is>
      </c>
      <c r="C22" s="45">
        <f>COUNTIF('Cloud Admins'!$S$2:$S$301,"Group only")</f>
        <v/>
      </c>
      <c r="D22" s="46" t="inlineStr">
        <is>
          <t>These accounts look unprivileged on their own object. Remediation is group removal, not role removal.</t>
        </is>
      </c>
    </row>
    <row r="23" ht="30" customHeight="1" s="39">
      <c r="B23" s="47" t="inlineStr">
        <is>
          <t>Roles scoped to an Administrative Unit</t>
        </is>
      </c>
      <c r="C23" s="45">
        <f>COUNTIFS('Cloud Admins'!$X$2:$X$301,"&lt;&gt;Tenant-wide",'Cloud Admins'!$X$2:$X$301,"&lt;&gt;")</f>
        <v/>
      </c>
      <c r="D23" s="46" t="inlineStr">
        <is>
          <t>Narrower than tenant-wide. Do not treat these as full-tenant privilege.</t>
        </is>
      </c>
    </row>
    <row r="24" ht="30" customHeight="1" s="39">
      <c r="B24" s="47" t="inlineStr">
        <is>
          <t>Azure sub or MG scoped</t>
        </is>
      </c>
      <c r="C24" s="45">
        <f>COUNTIF('Cloud Admins'!$R$2:$R$301,"Yes")</f>
        <v/>
      </c>
      <c r="D24" s="46" t="inlineStr">
        <is>
          <t>Assignment covers every resource in the subscription, including ones created next year.</t>
        </is>
      </c>
    </row>
    <row r="25" ht="30" customHeight="1" s="39">
      <c r="B25" s="47" t="inlineStr">
        <is>
          <t>Enabled but never signed in</t>
        </is>
      </c>
      <c r="C25" s="45">
        <f>COUNTIFS('Cloud Admins'!$E$2:$E$301,"Yes",'Cloud Admins'!$G$2:$G$301,"")</f>
        <v/>
      </c>
      <c r="D25" s="46" t="inlineStr">
        <is>
          <t>Provisioned and unused.</t>
        </is>
      </c>
    </row>
    <row r="26" ht="30" customHeight="1" s="39">
      <c r="B26" s="47" t="inlineStr">
        <is>
          <t>Dormant 90+ days</t>
        </is>
      </c>
      <c r="C26" s="45">
        <f>COUNTIF('Cloud Admins'!$AE$2:$AE$301,"&gt;90")</f>
        <v/>
      </c>
      <c r="D26" s="46" t="inlineStr">
        <is>
          <t>Privilege held but not exercised.</t>
        </is>
      </c>
    </row>
    <row r="28" ht="15" customHeight="1" s="39">
      <c r="B28" s="42" t="inlineStr">
        <is>
          <t>ON-PREM ADMINS (Active Directory)</t>
        </is>
      </c>
      <c r="C28" s="43" t="inlineStr">
        <is>
          <t>Value</t>
        </is>
      </c>
      <c r="D28" s="42" t="inlineStr">
        <is>
          <t>Why it matters</t>
        </is>
      </c>
    </row>
    <row r="29" ht="30" customHeight="1" s="39">
      <c r="B29" s="47" t="inlineStr">
        <is>
          <t>On-prem admin accounts</t>
        </is>
      </c>
      <c r="C29" s="45">
        <f>COUNTA('On-Prem Admins'!$A$2:$A$301)</f>
        <v/>
      </c>
      <c r="D29" s="46" t="n"/>
    </row>
    <row r="30" ht="30" customHeight="1" s="39">
      <c r="B30" s="44" t="inlineStr">
        <is>
          <t>Tier 0 (domain compromise capable)</t>
        </is>
      </c>
      <c r="C30" s="45">
        <f>COUNTIF('On-Prem Admins'!$P$2:$P$301,0)</f>
        <v/>
      </c>
      <c r="D30" s="46" t="inlineStr">
        <is>
          <t>Domain Admins, Enterprise Admins, Backup Operators, DnsAdmins and equivalents.</t>
        </is>
      </c>
    </row>
    <row r="31" ht="30" customHeight="1" s="39">
      <c r="B31" s="44" t="inlineStr">
        <is>
          <t>Tier 0 without smartcard required</t>
        </is>
      </c>
      <c r="C31" s="45">
        <f>COUNTIFS('On-Prem Admins'!$P$2:$P$301,0,'On-Prem Admins'!$L$2:$L$301,"No")</f>
        <v/>
      </c>
      <c r="D31" s="46" t="inlineStr">
        <is>
          <t>The on-prem equivalent of an admin without FIDO2 - a password alone protects the domain.</t>
        </is>
      </c>
    </row>
    <row r="32" ht="30" customHeight="1" s="39">
      <c r="B32" s="47" t="inlineStr">
        <is>
          <t>Password older than one year</t>
        </is>
      </c>
      <c r="C32" s="45">
        <f>COUNTIFS('On-Prem Admins'!$J$2:$J$301,"&gt;365",'On-Prem Admins'!$F$2:$F$301,"Yes")</f>
        <v/>
      </c>
      <c r="D32" s="46" t="n"/>
    </row>
    <row r="33" ht="30" customHeight="1" s="39">
      <c r="B33" s="47" t="inlineStr">
        <is>
          <t>PasswordNeverExpires set</t>
        </is>
      </c>
      <c r="C33" s="45">
        <f>COUNTIFS('On-Prem Admins'!$K$2:$K$301,"Yes",'On-Prem Admins'!$F$2:$F$301,"Yes")</f>
        <v/>
      </c>
      <c r="D33" s="46" t="n"/>
    </row>
    <row r="34" ht="30" customHeight="1" s="39">
      <c r="B34" s="47" t="inlineStr">
        <is>
          <t>Configured for delegation</t>
        </is>
      </c>
      <c r="C34" s="45">
        <f>COUNTIFS('On-Prem Admins'!$S$2:$S$301,"&lt;&gt;None",'On-Prem Admins'!$S$2:$S$301,"&lt;&gt;")</f>
        <v/>
      </c>
      <c r="D34" s="46" t="inlineStr">
        <is>
          <t>Unconstrained delegation on an admin account is a domain-wide impersonation path.</t>
        </is>
      </c>
    </row>
    <row r="35" ht="30" customHeight="1" s="39">
      <c r="B35" s="47" t="inlineStr">
        <is>
          <t>Admin-named but no privileged group</t>
        </is>
      </c>
      <c r="C35" s="45">
        <f>COUNTIF('On-Prem Admins'!$O$2:$O$301,"None")</f>
        <v/>
      </c>
      <c r="D35" s="46" t="inlineStr">
        <is>
          <t>Either privilege was removed and the account was not, or it is granted through delegated ACLs, which these scripts do not see. Run PingCastle to check.</t>
        </is>
      </c>
    </row>
    <row r="36" ht="30" customHeight="1" s="39">
      <c r="B36" s="47" t="inlineStr">
        <is>
          <t>Dormant 90+ days</t>
        </is>
      </c>
      <c r="C36" s="45">
        <f>COUNTIF('On-Prem Admins'!$Y$2:$Y$301,"&gt;90")</f>
        <v/>
      </c>
      <c r="D36" s="46" t="inlineStr">
        <is>
          <t>Note that lastLogonTimestamp lags by up to 14 days - do not act on a single reading near the threshold.</t>
        </is>
      </c>
    </row>
    <row r="38" ht="15" customHeight="1" s="39">
      <c r="B38" s="42" t="inlineStr">
        <is>
          <t>GOVERNANCE</t>
        </is>
      </c>
      <c r="C38" s="43" t="inlineStr">
        <is>
          <t>Value</t>
        </is>
      </c>
      <c r="D38" s="42" t="inlineStr">
        <is>
          <t>Why it matters</t>
        </is>
      </c>
    </row>
    <row r="39" ht="30" customHeight="1" s="39">
      <c r="B39" s="47" t="inlineStr">
        <is>
          <t>Cloud: not enrolled in a review cycle</t>
        </is>
      </c>
      <c r="C39" s="45">
        <f>COUNTIF('Cloud Admins'!$AQ$2:$AQ$301,"Not Enrolled")</f>
        <v/>
      </c>
      <c r="D39" s="46" t="inlineStr">
        <is>
          <t>No Access Review scheduled for this account yet. Acceptable only until rollout completes - a finding on a live Tier 0/1 account after that.</t>
        </is>
      </c>
    </row>
    <row r="40" ht="30" customHeight="1" s="39">
      <c r="B40" s="47" t="inlineStr">
        <is>
          <t>Cloud: review cycle overdue</t>
        </is>
      </c>
      <c r="C40" s="45">
        <f>COUNTIF('Cloud Admins'!$AQ$2:$AQ$301,"Review Overdue")</f>
        <v/>
      </c>
      <c r="D40" s="46" t="inlineStr">
        <is>
          <t>Scheduled review date has passed with no recorded outcome - check whether auto-removal already fired or the sheet just needs refreshing from the Access Review results.</t>
        </is>
      </c>
    </row>
    <row r="41" ht="30" customHeight="1" s="39">
      <c r="B41" s="47" t="inlineStr">
        <is>
          <t>Cloud: self-review overdue or not started</t>
        </is>
      </c>
      <c r="C41" s="45">
        <f>COUNTIF('Cloud Admins'!$AR$2:$AR$301,"OVERDUE")+COUNTIF('Cloud Admins'!$AR$2:$AR$301,"NOT REVIEWED")</f>
        <v/>
      </c>
      <c r="D41" s="46" t="n"/>
    </row>
    <row r="42" ht="30" customHeight="1" s="39">
      <c r="B42" s="47" t="inlineStr">
        <is>
          <t>On-prem: not enrolled in a review cycle</t>
        </is>
      </c>
      <c r="C42" s="45">
        <f>COUNTIF('On-Prem Admins'!$AJ$2:$AJ$301,"Not Enrolled")</f>
        <v/>
      </c>
      <c r="D42" s="46" t="inlineStr">
        <is>
          <t>No Access Review scheduled for this account yet. Acceptable only until rollout completes - a finding on a live Tier 0/1 account after that.</t>
        </is>
      </c>
    </row>
    <row r="43" ht="30" customHeight="1" s="39">
      <c r="B43" s="47" t="inlineStr">
        <is>
          <t>On-prem: review cycle overdue</t>
        </is>
      </c>
      <c r="C43" s="45">
        <f>COUNTIF('On-Prem Admins'!$AJ$2:$AJ$301,"Review Overdue")</f>
        <v/>
      </c>
      <c r="D43" s="46" t="inlineStr">
        <is>
          <t>Scheduled review date has passed with no recorded outcome - check whether auto-removal already fired or the sheet just needs refreshing from the Access Review results.</t>
        </is>
      </c>
    </row>
    <row r="44" ht="30" customHeight="1" s="39">
      <c r="B44" s="47" t="inlineStr">
        <is>
          <t>On-prem: self-review overdue or not started</t>
        </is>
      </c>
      <c r="C44" s="45">
        <f>COUNTIF('On-Prem Admins'!$AK$2:$AK$301,"OVERDUE")+COUNTIF('On-Prem Admins'!$AK$2:$AK$301,"NOT REVIEWED")</f>
        <v/>
      </c>
      <c r="D44" s="46" t="n"/>
    </row>
    <row r="45" ht="30" customHeight="1" s="39">
      <c r="B45" s="44" t="inlineStr">
        <is>
          <t>Self-review completion</t>
        </is>
      </c>
      <c r="C45" s="48">
        <f>IF(COUNTA(People!$A$2:$A$301)=0,"n/a",COUNTIF(People!$Y$2:$Y$301,"Not At Risk")/COUNTA(People!$A$2:$A$301))</f>
        <v/>
      </c>
      <c r="D45" s="46" t="inlineStr">
        <is>
          <t>The only metric here that measures the work rather than the problem.</t>
        </is>
      </c>
    </row>
    <row r="47" ht="15" customHeight="1" s="39">
      <c r="B47" s="49" t="inlineStr">
        <is>
          <t>Example rows on each tab are counted until you delete them.</t>
        </is>
      </c>
    </row>
  </sheetData>
  <mergeCells count="1">
    <mergeCell ref="B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BF9000"/>
    <outlinePr summaryBelow="1" summaryRight="1"/>
    <pageSetUpPr fitToPage="0"/>
  </sheetPr>
  <dimension ref="B2:B6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38" min="1" max="1"/>
    <col width="112" customWidth="1" style="38" min="2" max="2"/>
  </cols>
  <sheetData>
    <row r="2" ht="25.5" customHeight="1" s="39">
      <c r="B2" s="50" t="inlineStr">
        <is>
          <t>Privileged Access Review - how to use this workbook</t>
        </is>
      </c>
    </row>
    <row r="4" ht="51.75" customHeight="1" s="39">
      <c r="B4" s="51" t="inlineStr">
        <is>
          <t>This tracks PEOPLE who hold privileged access, not systems. Service accounts, service principals and managed identities belong in the Service Identity Inventory instead - the two are deliberately separate, because human privilege is reviewed by the account holder confirming their own need on a recurring cycle, while machine privilege is reviewed against a workload's function.</t>
        </is>
      </c>
    </row>
    <row r="6" ht="24" customHeight="1" s="39">
      <c r="B6" s="52" t="inlineStr">
        <is>
          <t>Naming conventions</t>
        </is>
      </c>
    </row>
    <row r="8" ht="51.75" customHeight="1" s="39">
      <c r="B8" s="51" t="inlineStr">
        <is>
          <t>Cloud admins follow username.azr@corp.onmicrosoft.com. On-prem admins follow username-a. Both encode the same base username, and that is what links an admin account back to a person. If your conventions differ, adjust the -AdminPattern and -BaseUsernameCapture parameters on the collection scripts rather than editing the workbook.</t>
        </is>
      </c>
    </row>
    <row r="10" ht="24" customHeight="1" s="39">
      <c r="B10" s="52" t="inlineStr">
        <is>
          <t>Order of operations</t>
        </is>
      </c>
    </row>
    <row r="12" ht="15.75" customHeight="1" s="39">
      <c r="B12" s="51" t="inlineStr">
        <is>
          <t>1. Build-CloudAdminReview.ps1   -&gt;  Cloud-Admins.csv    -&gt;  'Cloud Admins' tab, A2, columns A-X</t>
        </is>
      </c>
    </row>
    <row r="14" ht="15.75" customHeight="1" s="39">
      <c r="B14" s="51" t="inlineStr">
        <is>
          <t>2. Build-OnPremAdminReview.ps1  -&gt;  OnPrem-Admins.csv   -&gt;  'On-Prem Admins' tab, A2, columns A-X</t>
        </is>
      </c>
    </row>
    <row r="16" ht="15.75" customHeight="1" s="39">
      <c r="B16" s="51" t="inlineStr">
        <is>
          <t>3. Merge-AdminReview.ps1        -&gt;  Admin-People.csv    -&gt;  'People' tab, A2, columns A-S</t>
        </is>
      </c>
    </row>
    <row r="18" ht="39" customHeight="1" s="39">
      <c r="B18" s="51" t="inlineStr">
        <is>
          <t>The first script needs Microsoft Graph and, for Azure RBAC, an Az session. The second needs RSAT on a domain-joined machine. The third runs anywhere - it only reads the two CSVs, so it can be run wherever you have both files.</t>
        </is>
      </c>
    </row>
    <row r="20" ht="25.5" customHeight="1" s="39">
      <c r="B20" s="51" t="inlineStr">
        <is>
          <t>Delete the pale yellow example row on each tab before loading real data. Columns with a red corner marker carry a comment; hover for guidance.</t>
        </is>
      </c>
    </row>
    <row r="22" ht="24" customHeight="1" s="39">
      <c r="B22" s="52" t="inlineStr">
        <is>
          <t>Tiering</t>
        </is>
      </c>
    </row>
    <row r="24" ht="39" customHeight="1" s="39">
      <c r="B24" s="51" t="inlineStr">
        <is>
          <t>Tier 0 means control plane: the holder can grant themselves anything else, directly or by a well-known escalation path. The Role Tiers tab documents the model and the reasoning behind each entry. Tiers are assigned by the scripts, so to change the model edit the table at the top of the relevant script and re-run.</t>
        </is>
      </c>
    </row>
    <row r="26" ht="39" customHeight="1" s="39">
      <c r="B26" s="51" t="inlineStr">
        <is>
          <t>Two entries commonly surprise people. Application Administrator is Tier 0 because it can add credentials to any service principal, including highly privileged ones. DnsAdmins is Tier 0 because members can load a DLL into a service running as SYSTEM on a domain controller. Neither looks like a full administrator by name.</t>
        </is>
      </c>
    </row>
    <row r="28" ht="24" customHeight="1" s="39">
      <c r="B28" s="52" t="inlineStr">
        <is>
          <t>Group-assigned roles</t>
        </is>
      </c>
    </row>
    <row r="30" ht="39" customHeight="1" s="39">
      <c r="B30" s="51" t="inlineStr">
        <is>
          <t>Roles assigned to role-assignable groups are resolved and attributed to every member, expanded transitively so nested groups count. Graph reports the group as the principal, so a review matching only on the user's own object ID misses these entirely - and in most tenants that is a large share of all privileged access.</t>
        </is>
      </c>
    </row>
    <row r="32" ht="51.75" customHeight="1" s="39">
      <c r="B32" s="51" t="inlineStr">
        <is>
          <t>The Assignment Route column shows Direct only, Group only, or both. 'Group only' matters most: those accounts appear unprivileged when you inspect the user object, and the remediation is removing the person from the group rather than removing a role. Granting Groups and Granting Group IDs give you the name and object ID to act on.</t>
        </is>
      </c>
    </row>
    <row r="34" ht="25.5" customHeight="1" s="39">
      <c r="B34" s="51" t="inlineStr">
        <is>
          <t>Directory Scopes captures roles limited to an Administrative Unit. A User Administrator scoped to one AU is materially narrower than a tenant-wide one, and reporting them identically overstates privilege.</t>
        </is>
      </c>
    </row>
    <row r="36" ht="24" customHeight="1" s="39">
      <c r="B36" s="52" t="inlineStr">
        <is>
          <t>What to work first</t>
        </is>
      </c>
    </row>
    <row r="38" ht="39" customHeight="1" s="39">
      <c r="B38" s="51" t="inlineStr">
        <is>
          <t>Orphaned admin accounts. An enabled admin account whose standard account is disabled or missing is almost always a leaver - admin accounts are separate objects and are routinely missed at offboarding. This is the cheapest and highest-value remediation on the page.</t>
        </is>
      </c>
    </row>
    <row r="40" ht="25.5" customHeight="1" s="39">
      <c r="B40" s="51" t="inlineStr">
        <is>
          <t>Then Tier 0 in both planes. Cloud and on-prem admin accounts never mix, which is good practice, but the person behind them does. One phished individual reaches both control planes.</t>
        </is>
      </c>
    </row>
    <row r="42" ht="39" customHeight="1" s="39">
      <c r="B42" s="51" t="inlineStr">
        <is>
          <t>Then standing Tier 0 privilege. A permanently assigned Global Administrator role is live every hour of every day whether in use or not. Converting to PIM-eligible is the single highest-value change available in the cloud plane, and it is usually low-friction.</t>
        </is>
      </c>
    </row>
    <row r="44" ht="25.5" customHeight="1" s="39">
      <c r="B44" s="51" t="inlineStr">
        <is>
          <t>Then authentication posture: Tier 0 cloud admins without a phishing-resistant method, and Tier 0 on-prem admins without smartcard required. These are the same weakness expressed in two planes.</t>
        </is>
      </c>
    </row>
    <row r="46" ht="24" customHeight="1" s="39">
      <c r="B46" s="52" t="inlineStr">
        <is>
          <t>Self-review is what makes this a review</t>
        </is>
      </c>
    </row>
    <row r="48" ht="39" customHeight="1" s="39">
      <c r="B48" s="51" t="inlineStr">
        <is>
          <t>Everything the scripts produce is an inventory. It becomes an access review through a recurring Entra Access Review: the account holder confirms the access is still needed and gives a reason, and access is removed automatically if they don't respond. Tier 0 approvals also route to a second reviewer before they're trusted, rather than being taken on the holder's word alone. The Self-Reviewed (All Accounts) column on the People tab reflects that decision, and the self-review completion figure on the Dashboard is the only metric here that measures progress rather than exposure.</t>
        </is>
      </c>
    </row>
    <row r="50" ht="24" customHeight="1" s="39">
      <c r="B50" s="52" t="inlineStr">
        <is>
          <t>What these scripts do not see</t>
        </is>
      </c>
    </row>
    <row r="52" ht="51.75" customHeight="1" s="39">
      <c r="B52" s="51" t="inlineStr">
        <is>
          <t>Delegated permissions expressed as ACLs on OUs and objects in Active Directory. That is where a good deal of real privilege escalation hides, and reimplementing the analysis here would give false assurance. Run PingCastle or BloodHound alongside this review. An account flagged 'admin-named but no privileged group' is exactly the case where delegated ACLs are the likely explanation.</t>
        </is>
      </c>
    </row>
    <row r="54" ht="25.5" customHeight="1" s="39">
      <c r="B54" s="51" t="inlineStr">
        <is>
          <t>Also not covered: Azure AD B2B guests with roles, Exchange RBAC, and privileged access granted through Administrative Units. Each is worth a separate look if relevant to your estate.</t>
        </is>
      </c>
    </row>
    <row r="56" ht="24" customHeight="1" s="39">
      <c r="B56" s="52" t="inlineStr">
        <is>
          <t>Australian context</t>
        </is>
      </c>
    </row>
    <row r="58" ht="51.75" customHeight="1" s="39">
      <c r="B58" s="51" t="inlineStr">
        <is>
          <t>The ACSC Essential Eight expects privileged access to be validated on first request and revalidated at least annually, with privileged accounts separated from standard accounts and prevented from accessing the internet and email. The separate .azr and -a conventions already satisfy the separation expectation; the review columns here, backed by the Access Review decision log, provide the revalidation evidence.</t>
        </is>
      </c>
    </row>
    <row r="60" ht="39" customHeight="1" s="39">
      <c r="B60" s="51" t="inlineStr">
        <is>
          <t>For APRA-regulated entities, CPS 234 requires clearly defined information security roles and responsibilities. Attestation here is self-review with Tier 0 escalation to a second reviewer, not line-manager sign-off - check with whoever owns your CPS 234 evidence that the Access Review decision log meets their expectations before relying on it as the sole record.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5B2C6F"/>
    <outlinePr summaryBelow="1" summaryRight="1"/>
    <pageSetUpPr fitToPage="0"/>
  </sheetPr>
  <dimension ref="A1:Z30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38" min="1" max="1"/>
    <col width="26" customWidth="1" style="38" min="2" max="2"/>
    <col width="24" customWidth="1" style="38" min="3" max="3"/>
    <col width="26" customWidth="1" style="38" min="4" max="4"/>
    <col width="14" customWidth="1" style="38" min="5" max="5"/>
    <col width="32" customWidth="1" style="38" min="6" max="6"/>
    <col width="24" customWidth="1" style="38" min="7" max="7"/>
    <col width="22" customWidth="1" style="38" min="8" max="8"/>
    <col width="15" customWidth="1" style="38" min="9" max="9"/>
    <col width="32" customWidth="1" style="38" min="10" max="10"/>
    <col width="15" customWidth="1" style="38" min="11" max="11"/>
    <col width="11" customWidth="1" style="38" min="12" max="12"/>
    <col width="15" customWidth="1" style="38" min="13" max="13"/>
    <col width="14" customWidth="1" style="38" min="14" max="14"/>
    <col width="28" customWidth="1" style="38" min="15" max="15"/>
    <col width="24" customWidth="1" style="38" min="16" max="16"/>
    <col width="11" customWidth="1" style="38" min="17" max="17"/>
    <col width="17" customWidth="1" style="38" min="18" max="18"/>
    <col width="11" customWidth="1" style="38" min="19" max="19"/>
    <col width="16" customWidth="1" style="38" min="20" max="20"/>
    <col width="14" customWidth="1" style="38" min="21" max="21"/>
    <col width="22" customWidth="1" style="38" min="22" max="22"/>
    <col width="14" customWidth="1" style="38" min="23" max="24"/>
    <col width="16" customWidth="1" style="38" min="25" max="25"/>
    <col width="38" customWidth="1" style="38" min="26" max="26"/>
  </cols>
  <sheetData>
    <row r="1" ht="49.5" customHeight="1" s="39">
      <c r="A1" s="53" t="inlineStr">
        <is>
          <t>Base Username</t>
        </is>
      </c>
      <c r="B1" s="53" t="inlineStr">
        <is>
          <t>Person Display Name</t>
        </is>
      </c>
      <c r="C1" s="53" t="inlineStr">
        <is>
          <t>Department</t>
        </is>
      </c>
      <c r="D1" s="53" t="inlineStr">
        <is>
          <t>Job Title</t>
        </is>
      </c>
      <c r="E1" s="53" t="inlineStr">
        <is>
          <t>Has Cloud Admin</t>
        </is>
      </c>
      <c r="F1" s="53" t="inlineStr">
        <is>
          <t>Cloud Admin Accounts</t>
        </is>
      </c>
      <c r="G1" s="53" t="inlineStr">
        <is>
          <t>Highest Entra Role</t>
        </is>
      </c>
      <c r="H1" s="53" t="inlineStr">
        <is>
          <t>Highest Azure Role</t>
        </is>
      </c>
      <c r="I1" s="53" t="inlineStr">
        <is>
          <t>Azure Sub/MG Scoped</t>
        </is>
      </c>
      <c r="J1" s="53" t="inlineStr">
        <is>
          <t>Granting Groups</t>
        </is>
      </c>
      <c r="K1" s="53" t="inlineStr">
        <is>
          <t>Assignment Route</t>
        </is>
      </c>
      <c r="L1" s="53" t="inlineStr">
        <is>
          <t>Cloud Tier</t>
        </is>
      </c>
      <c r="M1" s="53" t="inlineStr">
        <is>
          <t>Standing Cloud Roles</t>
        </is>
      </c>
      <c r="N1" s="53" t="inlineStr">
        <is>
          <t>Has On-Prem Admin</t>
        </is>
      </c>
      <c r="O1" s="53" t="inlineStr">
        <is>
          <t>On-Prem Admin Accounts</t>
        </is>
      </c>
      <c r="P1" s="53" t="inlineStr">
        <is>
          <t>Highest AD Group</t>
        </is>
      </c>
      <c r="Q1" s="53" t="inlineStr">
        <is>
          <t>On-Prem Tier</t>
        </is>
      </c>
      <c r="R1" s="53" t="inlineStr">
        <is>
          <t>Privileged In Both Planes</t>
        </is>
      </c>
      <c r="S1" s="53" t="inlineStr">
        <is>
          <t>Overall Tier</t>
        </is>
      </c>
      <c r="T1" s="53" t="inlineStr">
        <is>
          <t>Orphaned Admin Account</t>
        </is>
      </c>
      <c r="U1" s="53" t="inlineStr">
        <is>
          <t>Total Admin Accounts</t>
        </is>
      </c>
      <c r="V1" s="54" t="inlineStr">
        <is>
          <t>Line Manager</t>
        </is>
      </c>
      <c r="W1" s="54" t="inlineStr">
        <is>
          <t>Self-Reviewed (All Accounts)</t>
        </is>
      </c>
      <c r="X1" s="54" t="inlineStr">
        <is>
          <t>Last Reviewed</t>
        </is>
      </c>
      <c r="Y1" s="55" t="inlineStr">
        <is>
          <t>Auto-Removal Risk</t>
        </is>
      </c>
      <c r="Z1" s="54" t="inlineStr">
        <is>
          <t>Notes</t>
        </is>
      </c>
    </row>
    <row r="2" ht="23.85" customHeight="1" s="39">
      <c r="A2" s="56" t="inlineStr">
        <is>
          <t>jsmith</t>
        </is>
      </c>
      <c r="B2" s="56" t="inlineStr">
        <is>
          <t>Jane Smith</t>
        </is>
      </c>
      <c r="C2" s="56" t="inlineStr">
        <is>
          <t>Cloud Platform Engineering</t>
        </is>
      </c>
      <c r="D2" s="56" t="inlineStr">
        <is>
          <t>Principal Engineer</t>
        </is>
      </c>
      <c r="E2" s="56" t="inlineStr">
        <is>
          <t>Yes</t>
        </is>
      </c>
      <c r="F2" s="57" t="inlineStr">
        <is>
          <t>jsmith.azr@corp.onmicrosoft.com</t>
        </is>
      </c>
      <c r="G2" s="56" t="inlineStr">
        <is>
          <t>Global Administrator</t>
        </is>
      </c>
      <c r="H2" s="56" t="inlineStr">
        <is>
          <t>Owner</t>
        </is>
      </c>
      <c r="I2" s="56" t="inlineStr">
        <is>
          <t>Yes</t>
        </is>
      </c>
      <c r="J2" s="57" t="inlineStr">
        <is>
          <t>SG-Azure-Platform-Owners</t>
        </is>
      </c>
      <c r="K2" s="56" t="inlineStr">
        <is>
          <t>Direct + Group</t>
        </is>
      </c>
      <c r="L2" s="56" t="n">
        <v>0</v>
      </c>
      <c r="M2" s="56" t="n">
        <v>1</v>
      </c>
      <c r="N2" s="56" t="inlineStr">
        <is>
          <t>Yes</t>
        </is>
      </c>
      <c r="O2" s="57" t="inlineStr">
        <is>
          <t>jsmith-a</t>
        </is>
      </c>
      <c r="P2" s="56" t="inlineStr">
        <is>
          <t>Domain Admins</t>
        </is>
      </c>
      <c r="Q2" s="56" t="n">
        <v>0</v>
      </c>
      <c r="R2" s="56" t="inlineStr">
        <is>
          <t>YES</t>
        </is>
      </c>
      <c r="S2" s="56" t="n">
        <v>0</v>
      </c>
      <c r="T2" s="56" t="inlineStr">
        <is>
          <t>No</t>
        </is>
      </c>
      <c r="U2" s="56" t="n">
        <v>2</v>
      </c>
      <c r="V2" s="56" t="inlineStr">
        <is>
          <t>Alex Tran</t>
        </is>
      </c>
      <c r="W2" s="56" t="inlineStr">
        <is>
          <t>No</t>
        </is>
      </c>
      <c r="X2" s="58" t="n"/>
      <c r="Y2" s="59">
        <f>IF($A2="","",IF(OR($W2&lt;&gt;"Yes",$X2="",TODAY()-$X2&gt;90),"At Risk","Not At Risk"))</f>
        <v/>
      </c>
      <c r="Z2" s="57" t="inlineStr">
        <is>
          <t>EXAMPLE ROW - delete before use. Tier 0 in both planes.</t>
        </is>
      </c>
    </row>
    <row r="3" ht="15" customHeight="1" s="39">
      <c r="A3" s="60" t="n"/>
      <c r="B3" s="60" t="n"/>
      <c r="C3" s="60" t="n"/>
      <c r="D3" s="60" t="n"/>
      <c r="E3" s="60" t="n"/>
      <c r="F3" s="61" t="n"/>
      <c r="G3" s="60" t="n"/>
      <c r="H3" s="60" t="n"/>
      <c r="I3" s="60" t="n"/>
      <c r="J3" s="61" t="n"/>
      <c r="K3" s="60" t="n"/>
      <c r="L3" s="60" t="n"/>
      <c r="M3" s="60" t="n"/>
      <c r="N3" s="60" t="n"/>
      <c r="O3" s="61" t="n"/>
      <c r="P3" s="60" t="n"/>
      <c r="Q3" s="60" t="n"/>
      <c r="R3" s="60" t="n"/>
      <c r="S3" s="60" t="n"/>
      <c r="T3" s="60" t="n"/>
      <c r="U3" s="60" t="n"/>
      <c r="V3" s="60" t="n"/>
      <c r="W3" s="60" t="n"/>
      <c r="X3" s="62" t="n"/>
      <c r="Y3" s="63">
        <f>IF($A3="","",IF(OR($W3&lt;&gt;"Yes",$X3="",TODAY()-$X3&gt;90),"At Risk","Not At Risk"))</f>
        <v/>
      </c>
      <c r="Z3" s="61" t="n"/>
    </row>
    <row r="4" ht="15" customHeight="1" s="39">
      <c r="A4" s="60" t="n"/>
      <c r="B4" s="60" t="n"/>
      <c r="C4" s="60" t="n"/>
      <c r="D4" s="60" t="n"/>
      <c r="E4" s="60" t="n"/>
      <c r="F4" s="61" t="n"/>
      <c r="G4" s="60" t="n"/>
      <c r="H4" s="60" t="n"/>
      <c r="I4" s="60" t="n"/>
      <c r="J4" s="61" t="n"/>
      <c r="K4" s="60" t="n"/>
      <c r="L4" s="60" t="n"/>
      <c r="M4" s="60" t="n"/>
      <c r="N4" s="60" t="n"/>
      <c r="O4" s="61" t="n"/>
      <c r="P4" s="60" t="n"/>
      <c r="Q4" s="60" t="n"/>
      <c r="R4" s="60" t="n"/>
      <c r="S4" s="60" t="n"/>
      <c r="T4" s="60" t="n"/>
      <c r="U4" s="60" t="n"/>
      <c r="V4" s="60" t="n"/>
      <c r="W4" s="60" t="n"/>
      <c r="X4" s="62" t="n"/>
      <c r="Y4" s="63">
        <f>IF($A4="","",IF(OR($W4&lt;&gt;"Yes",$X4="",TODAY()-$X4&gt;90),"At Risk","Not At Risk"))</f>
        <v/>
      </c>
      <c r="Z4" s="61" t="n"/>
    </row>
    <row r="5" ht="15" customHeight="1" s="39">
      <c r="A5" s="60" t="n"/>
      <c r="B5" s="60" t="n"/>
      <c r="C5" s="60" t="n"/>
      <c r="D5" s="60" t="n"/>
      <c r="E5" s="60" t="n"/>
      <c r="F5" s="61" t="n"/>
      <c r="G5" s="60" t="n"/>
      <c r="H5" s="60" t="n"/>
      <c r="I5" s="60" t="n"/>
      <c r="J5" s="61" t="n"/>
      <c r="K5" s="60" t="n"/>
      <c r="L5" s="60" t="n"/>
      <c r="M5" s="60" t="n"/>
      <c r="N5" s="60" t="n"/>
      <c r="O5" s="61" t="n"/>
      <c r="P5" s="60" t="n"/>
      <c r="Q5" s="60" t="n"/>
      <c r="R5" s="60" t="n"/>
      <c r="S5" s="60" t="n"/>
      <c r="T5" s="60" t="n"/>
      <c r="U5" s="60" t="n"/>
      <c r="V5" s="60" t="n"/>
      <c r="W5" s="60" t="n"/>
      <c r="X5" s="62" t="n"/>
      <c r="Y5" s="63">
        <f>IF($A5="","",IF(OR($W5&lt;&gt;"Yes",$X5="",TODAY()-$X5&gt;90),"At Risk","Not At Risk"))</f>
        <v/>
      </c>
      <c r="Z5" s="61" t="n"/>
    </row>
    <row r="6" ht="15" customHeight="1" s="39">
      <c r="A6" s="60" t="n"/>
      <c r="B6" s="60" t="n"/>
      <c r="C6" s="60" t="n"/>
      <c r="D6" s="60" t="n"/>
      <c r="E6" s="60" t="n"/>
      <c r="F6" s="61" t="n"/>
      <c r="G6" s="60" t="n"/>
      <c r="H6" s="60" t="n"/>
      <c r="I6" s="60" t="n"/>
      <c r="J6" s="61" t="n"/>
      <c r="K6" s="60" t="n"/>
      <c r="L6" s="60" t="n"/>
      <c r="M6" s="60" t="n"/>
      <c r="N6" s="60" t="n"/>
      <c r="O6" s="61" t="n"/>
      <c r="P6" s="60" t="n"/>
      <c r="Q6" s="60" t="n"/>
      <c r="R6" s="60" t="n"/>
      <c r="S6" s="60" t="n"/>
      <c r="T6" s="60" t="n"/>
      <c r="U6" s="60" t="n"/>
      <c r="V6" s="60" t="n"/>
      <c r="W6" s="60" t="n"/>
      <c r="X6" s="62" t="n"/>
      <c r="Y6" s="63">
        <f>IF($A6="","",IF(OR($W6&lt;&gt;"Yes",$X6="",TODAY()-$X6&gt;90),"At Risk","Not At Risk"))</f>
        <v/>
      </c>
      <c r="Z6" s="61" t="n"/>
    </row>
    <row r="7" ht="15" customHeight="1" s="39">
      <c r="A7" s="60" t="n"/>
      <c r="B7" s="60" t="n"/>
      <c r="C7" s="60" t="n"/>
      <c r="D7" s="60" t="n"/>
      <c r="E7" s="60" t="n"/>
      <c r="F7" s="61" t="n"/>
      <c r="G7" s="60" t="n"/>
      <c r="H7" s="60" t="n"/>
      <c r="I7" s="60" t="n"/>
      <c r="J7" s="61" t="n"/>
      <c r="K7" s="60" t="n"/>
      <c r="L7" s="60" t="n"/>
      <c r="M7" s="60" t="n"/>
      <c r="N7" s="60" t="n"/>
      <c r="O7" s="61" t="n"/>
      <c r="P7" s="60" t="n"/>
      <c r="Q7" s="60" t="n"/>
      <c r="R7" s="60" t="n"/>
      <c r="S7" s="60" t="n"/>
      <c r="T7" s="60" t="n"/>
      <c r="U7" s="60" t="n"/>
      <c r="V7" s="60" t="n"/>
      <c r="W7" s="60" t="n"/>
      <c r="X7" s="62" t="n"/>
      <c r="Y7" s="63">
        <f>IF($A7="","",IF(OR($W7&lt;&gt;"Yes",$X7="",TODAY()-$X7&gt;90),"At Risk","Not At Risk"))</f>
        <v/>
      </c>
      <c r="Z7" s="61" t="n"/>
    </row>
    <row r="8" ht="15" customHeight="1" s="39">
      <c r="A8" s="60" t="n"/>
      <c r="B8" s="60" t="n"/>
      <c r="C8" s="60" t="n"/>
      <c r="D8" s="60" t="n"/>
      <c r="E8" s="60" t="n"/>
      <c r="F8" s="61" t="n"/>
      <c r="G8" s="60" t="n"/>
      <c r="H8" s="60" t="n"/>
      <c r="I8" s="60" t="n"/>
      <c r="J8" s="61" t="n"/>
      <c r="K8" s="60" t="n"/>
      <c r="L8" s="60" t="n"/>
      <c r="M8" s="60" t="n"/>
      <c r="N8" s="60" t="n"/>
      <c r="O8" s="61" t="n"/>
      <c r="P8" s="60" t="n"/>
      <c r="Q8" s="60" t="n"/>
      <c r="R8" s="60" t="n"/>
      <c r="S8" s="60" t="n"/>
      <c r="T8" s="60" t="n"/>
      <c r="U8" s="60" t="n"/>
      <c r="V8" s="60" t="n"/>
      <c r="W8" s="60" t="n"/>
      <c r="X8" s="62" t="n"/>
      <c r="Y8" s="63">
        <f>IF($A8="","",IF(OR($W8&lt;&gt;"Yes",$X8="",TODAY()-$X8&gt;90),"At Risk","Not At Risk"))</f>
        <v/>
      </c>
      <c r="Z8" s="61" t="n"/>
    </row>
    <row r="9" ht="15" customHeight="1" s="39">
      <c r="A9" s="60" t="n"/>
      <c r="B9" s="60" t="n"/>
      <c r="C9" s="60" t="n"/>
      <c r="D9" s="60" t="n"/>
      <c r="E9" s="60" t="n"/>
      <c r="F9" s="61" t="n"/>
      <c r="G9" s="60" t="n"/>
      <c r="H9" s="60" t="n"/>
      <c r="I9" s="60" t="n"/>
      <c r="J9" s="61" t="n"/>
      <c r="K9" s="60" t="n"/>
      <c r="L9" s="60" t="n"/>
      <c r="M9" s="60" t="n"/>
      <c r="N9" s="60" t="n"/>
      <c r="O9" s="61" t="n"/>
      <c r="P9" s="60" t="n"/>
      <c r="Q9" s="60" t="n"/>
      <c r="R9" s="60" t="n"/>
      <c r="S9" s="60" t="n"/>
      <c r="T9" s="60" t="n"/>
      <c r="U9" s="60" t="n"/>
      <c r="V9" s="60" t="n"/>
      <c r="W9" s="60" t="n"/>
      <c r="X9" s="62" t="n"/>
      <c r="Y9" s="63">
        <f>IF($A9="","",IF(OR($W9&lt;&gt;"Yes",$X9="",TODAY()-$X9&gt;90),"At Risk","Not At Risk"))</f>
        <v/>
      </c>
      <c r="Z9" s="61" t="n"/>
    </row>
    <row r="10" ht="15" customHeight="1" s="39">
      <c r="A10" s="60" t="n"/>
      <c r="B10" s="60" t="n"/>
      <c r="C10" s="60" t="n"/>
      <c r="D10" s="60" t="n"/>
      <c r="E10" s="60" t="n"/>
      <c r="F10" s="61" t="n"/>
      <c r="G10" s="60" t="n"/>
      <c r="H10" s="60" t="n"/>
      <c r="I10" s="60" t="n"/>
      <c r="J10" s="61" t="n"/>
      <c r="K10" s="60" t="n"/>
      <c r="L10" s="60" t="n"/>
      <c r="M10" s="60" t="n"/>
      <c r="N10" s="60" t="n"/>
      <c r="O10" s="61" t="n"/>
      <c r="P10" s="60" t="n"/>
      <c r="Q10" s="60" t="n"/>
      <c r="R10" s="60" t="n"/>
      <c r="S10" s="60" t="n"/>
      <c r="T10" s="60" t="n"/>
      <c r="U10" s="60" t="n"/>
      <c r="V10" s="60" t="n"/>
      <c r="W10" s="60" t="n"/>
      <c r="X10" s="62" t="n"/>
      <c r="Y10" s="63">
        <f>IF($A10="","",IF(OR($W10&lt;&gt;"Yes",$X10="",TODAY()-$X10&gt;90),"At Risk","Not At Risk"))</f>
        <v/>
      </c>
      <c r="Z10" s="61" t="n"/>
    </row>
    <row r="11" ht="15" customHeight="1" s="39">
      <c r="A11" s="60" t="n"/>
      <c r="B11" s="60" t="n"/>
      <c r="C11" s="60" t="n"/>
      <c r="D11" s="60" t="n"/>
      <c r="E11" s="60" t="n"/>
      <c r="F11" s="61" t="n"/>
      <c r="G11" s="60" t="n"/>
      <c r="H11" s="60" t="n"/>
      <c r="I11" s="60" t="n"/>
      <c r="J11" s="61" t="n"/>
      <c r="K11" s="60" t="n"/>
      <c r="L11" s="60" t="n"/>
      <c r="M11" s="60" t="n"/>
      <c r="N11" s="60" t="n"/>
      <c r="O11" s="61" t="n"/>
      <c r="P11" s="60" t="n"/>
      <c r="Q11" s="60" t="n"/>
      <c r="R11" s="60" t="n"/>
      <c r="S11" s="60" t="n"/>
      <c r="T11" s="60" t="n"/>
      <c r="U11" s="60" t="n"/>
      <c r="V11" s="60" t="n"/>
      <c r="W11" s="60" t="n"/>
      <c r="X11" s="62" t="n"/>
      <c r="Y11" s="63">
        <f>IF($A11="","",IF(OR($W11&lt;&gt;"Yes",$X11="",TODAY()-$X11&gt;90),"At Risk","Not At Risk"))</f>
        <v/>
      </c>
      <c r="Z11" s="61" t="n"/>
    </row>
    <row r="12" ht="15" customHeight="1" s="39">
      <c r="A12" s="60" t="n"/>
      <c r="B12" s="60" t="n"/>
      <c r="C12" s="60" t="n"/>
      <c r="D12" s="60" t="n"/>
      <c r="E12" s="60" t="n"/>
      <c r="F12" s="61" t="n"/>
      <c r="G12" s="60" t="n"/>
      <c r="H12" s="60" t="n"/>
      <c r="I12" s="60" t="n"/>
      <c r="J12" s="61" t="n"/>
      <c r="K12" s="60" t="n"/>
      <c r="L12" s="60" t="n"/>
      <c r="M12" s="60" t="n"/>
      <c r="N12" s="60" t="n"/>
      <c r="O12" s="61" t="n"/>
      <c r="P12" s="60" t="n"/>
      <c r="Q12" s="60" t="n"/>
      <c r="R12" s="60" t="n"/>
      <c r="S12" s="60" t="n"/>
      <c r="T12" s="60" t="n"/>
      <c r="U12" s="60" t="n"/>
      <c r="V12" s="60" t="n"/>
      <c r="W12" s="60" t="n"/>
      <c r="X12" s="62" t="n"/>
      <c r="Y12" s="63">
        <f>IF($A12="","",IF(OR($W12&lt;&gt;"Yes",$X12="",TODAY()-$X12&gt;90),"At Risk","Not At Risk"))</f>
        <v/>
      </c>
      <c r="Z12" s="61" t="n"/>
    </row>
    <row r="13" ht="15" customHeight="1" s="39">
      <c r="A13" s="60" t="n"/>
      <c r="B13" s="60" t="n"/>
      <c r="C13" s="60" t="n"/>
      <c r="D13" s="60" t="n"/>
      <c r="E13" s="60" t="n"/>
      <c r="F13" s="61" t="n"/>
      <c r="G13" s="60" t="n"/>
      <c r="H13" s="60" t="n"/>
      <c r="I13" s="60" t="n"/>
      <c r="J13" s="61" t="n"/>
      <c r="K13" s="60" t="n"/>
      <c r="L13" s="60" t="n"/>
      <c r="M13" s="60" t="n"/>
      <c r="N13" s="60" t="n"/>
      <c r="O13" s="61" t="n"/>
      <c r="P13" s="60" t="n"/>
      <c r="Q13" s="60" t="n"/>
      <c r="R13" s="60" t="n"/>
      <c r="S13" s="60" t="n"/>
      <c r="T13" s="60" t="n"/>
      <c r="U13" s="60" t="n"/>
      <c r="V13" s="60" t="n"/>
      <c r="W13" s="60" t="n"/>
      <c r="X13" s="62" t="n"/>
      <c r="Y13" s="63">
        <f>IF($A13="","",IF(OR($W13&lt;&gt;"Yes",$X13="",TODAY()-$X13&gt;90),"At Risk","Not At Risk"))</f>
        <v/>
      </c>
      <c r="Z13" s="61" t="n"/>
    </row>
    <row r="14" ht="15" customHeight="1" s="39">
      <c r="A14" s="60" t="n"/>
      <c r="B14" s="60" t="n"/>
      <c r="C14" s="60" t="n"/>
      <c r="D14" s="60" t="n"/>
      <c r="E14" s="60" t="n"/>
      <c r="F14" s="61" t="n"/>
      <c r="G14" s="60" t="n"/>
      <c r="H14" s="60" t="n"/>
      <c r="I14" s="60" t="n"/>
      <c r="J14" s="61" t="n"/>
      <c r="K14" s="60" t="n"/>
      <c r="L14" s="60" t="n"/>
      <c r="M14" s="60" t="n"/>
      <c r="N14" s="60" t="n"/>
      <c r="O14" s="61" t="n"/>
      <c r="P14" s="60" t="n"/>
      <c r="Q14" s="60" t="n"/>
      <c r="R14" s="60" t="n"/>
      <c r="S14" s="60" t="n"/>
      <c r="T14" s="60" t="n"/>
      <c r="U14" s="60" t="n"/>
      <c r="V14" s="60" t="n"/>
      <c r="W14" s="60" t="n"/>
      <c r="X14" s="62" t="n"/>
      <c r="Y14" s="63">
        <f>IF($A14="","",IF(OR($W14&lt;&gt;"Yes",$X14="",TODAY()-$X14&gt;90),"At Risk","Not At Risk"))</f>
        <v/>
      </c>
      <c r="Z14" s="61" t="n"/>
    </row>
    <row r="15" ht="15" customHeight="1" s="39">
      <c r="A15" s="60" t="n"/>
      <c r="B15" s="60" t="n"/>
      <c r="C15" s="60" t="n"/>
      <c r="D15" s="60" t="n"/>
      <c r="E15" s="60" t="n"/>
      <c r="F15" s="61" t="n"/>
      <c r="G15" s="60" t="n"/>
      <c r="H15" s="60" t="n"/>
      <c r="I15" s="60" t="n"/>
      <c r="J15" s="61" t="n"/>
      <c r="K15" s="60" t="n"/>
      <c r="L15" s="60" t="n"/>
      <c r="M15" s="60" t="n"/>
      <c r="N15" s="60" t="n"/>
      <c r="O15" s="61" t="n"/>
      <c r="P15" s="60" t="n"/>
      <c r="Q15" s="60" t="n"/>
      <c r="R15" s="60" t="n"/>
      <c r="S15" s="60" t="n"/>
      <c r="T15" s="60" t="n"/>
      <c r="U15" s="60" t="n"/>
      <c r="V15" s="60" t="n"/>
      <c r="W15" s="60" t="n"/>
      <c r="X15" s="62" t="n"/>
      <c r="Y15" s="63">
        <f>IF($A15="","",IF(OR($W15&lt;&gt;"Yes",$X15="",TODAY()-$X15&gt;90),"At Risk","Not At Risk"))</f>
        <v/>
      </c>
      <c r="Z15" s="61" t="n"/>
    </row>
    <row r="16" ht="15" customHeight="1" s="39">
      <c r="A16" s="60" t="n"/>
      <c r="B16" s="60" t="n"/>
      <c r="C16" s="60" t="n"/>
      <c r="D16" s="60" t="n"/>
      <c r="E16" s="60" t="n"/>
      <c r="F16" s="61" t="n"/>
      <c r="G16" s="60" t="n"/>
      <c r="H16" s="60" t="n"/>
      <c r="I16" s="60" t="n"/>
      <c r="J16" s="61" t="n"/>
      <c r="K16" s="60" t="n"/>
      <c r="L16" s="60" t="n"/>
      <c r="M16" s="60" t="n"/>
      <c r="N16" s="60" t="n"/>
      <c r="O16" s="61" t="n"/>
      <c r="P16" s="60" t="n"/>
      <c r="Q16" s="60" t="n"/>
      <c r="R16" s="60" t="n"/>
      <c r="S16" s="60" t="n"/>
      <c r="T16" s="60" t="n"/>
      <c r="U16" s="60" t="n"/>
      <c r="V16" s="60" t="n"/>
      <c r="W16" s="60" t="n"/>
      <c r="X16" s="62" t="n"/>
      <c r="Y16" s="63">
        <f>IF($A16="","",IF(OR($W16&lt;&gt;"Yes",$X16="",TODAY()-$X16&gt;90),"At Risk","Not At Risk"))</f>
        <v/>
      </c>
      <c r="Z16" s="61" t="n"/>
    </row>
    <row r="17" ht="15" customHeight="1" s="39">
      <c r="A17" s="60" t="n"/>
      <c r="B17" s="60" t="n"/>
      <c r="C17" s="60" t="n"/>
      <c r="D17" s="60" t="n"/>
      <c r="E17" s="60" t="n"/>
      <c r="F17" s="61" t="n"/>
      <c r="G17" s="60" t="n"/>
      <c r="H17" s="60" t="n"/>
      <c r="I17" s="60" t="n"/>
      <c r="J17" s="61" t="n"/>
      <c r="K17" s="60" t="n"/>
      <c r="L17" s="60" t="n"/>
      <c r="M17" s="60" t="n"/>
      <c r="N17" s="60" t="n"/>
      <c r="O17" s="61" t="n"/>
      <c r="P17" s="60" t="n"/>
      <c r="Q17" s="60" t="n"/>
      <c r="R17" s="60" t="n"/>
      <c r="S17" s="60" t="n"/>
      <c r="T17" s="60" t="n"/>
      <c r="U17" s="60" t="n"/>
      <c r="V17" s="60" t="n"/>
      <c r="W17" s="60" t="n"/>
      <c r="X17" s="62" t="n"/>
      <c r="Y17" s="63">
        <f>IF($A17="","",IF(OR($W17&lt;&gt;"Yes",$X17="",TODAY()-$X17&gt;90),"At Risk","Not At Risk"))</f>
        <v/>
      </c>
      <c r="Z17" s="61" t="n"/>
    </row>
    <row r="18" ht="15" customHeight="1" s="39">
      <c r="A18" s="60" t="n"/>
      <c r="B18" s="60" t="n"/>
      <c r="C18" s="60" t="n"/>
      <c r="D18" s="60" t="n"/>
      <c r="E18" s="60" t="n"/>
      <c r="F18" s="61" t="n"/>
      <c r="G18" s="60" t="n"/>
      <c r="H18" s="60" t="n"/>
      <c r="I18" s="60" t="n"/>
      <c r="J18" s="61" t="n"/>
      <c r="K18" s="60" t="n"/>
      <c r="L18" s="60" t="n"/>
      <c r="M18" s="60" t="n"/>
      <c r="N18" s="60" t="n"/>
      <c r="O18" s="61" t="n"/>
      <c r="P18" s="60" t="n"/>
      <c r="Q18" s="60" t="n"/>
      <c r="R18" s="60" t="n"/>
      <c r="S18" s="60" t="n"/>
      <c r="T18" s="60" t="n"/>
      <c r="U18" s="60" t="n"/>
      <c r="V18" s="60" t="n"/>
      <c r="W18" s="60" t="n"/>
      <c r="X18" s="62" t="n"/>
      <c r="Y18" s="63">
        <f>IF($A18="","",IF(OR($W18&lt;&gt;"Yes",$X18="",TODAY()-$X18&gt;90),"At Risk","Not At Risk"))</f>
        <v/>
      </c>
      <c r="Z18" s="61" t="n"/>
    </row>
    <row r="19" ht="15" customHeight="1" s="39">
      <c r="A19" s="60" t="n"/>
      <c r="B19" s="60" t="n"/>
      <c r="C19" s="60" t="n"/>
      <c r="D19" s="60" t="n"/>
      <c r="E19" s="60" t="n"/>
      <c r="F19" s="61" t="n"/>
      <c r="G19" s="60" t="n"/>
      <c r="H19" s="60" t="n"/>
      <c r="I19" s="60" t="n"/>
      <c r="J19" s="61" t="n"/>
      <c r="K19" s="60" t="n"/>
      <c r="L19" s="60" t="n"/>
      <c r="M19" s="60" t="n"/>
      <c r="N19" s="60" t="n"/>
      <c r="O19" s="61" t="n"/>
      <c r="P19" s="60" t="n"/>
      <c r="Q19" s="60" t="n"/>
      <c r="R19" s="60" t="n"/>
      <c r="S19" s="60" t="n"/>
      <c r="T19" s="60" t="n"/>
      <c r="U19" s="60" t="n"/>
      <c r="V19" s="60" t="n"/>
      <c r="W19" s="60" t="n"/>
      <c r="X19" s="62" t="n"/>
      <c r="Y19" s="63">
        <f>IF($A19="","",IF(OR($W19&lt;&gt;"Yes",$X19="",TODAY()-$X19&gt;90),"At Risk","Not At Risk"))</f>
        <v/>
      </c>
      <c r="Z19" s="61" t="n"/>
    </row>
    <row r="20" ht="15" customHeight="1" s="39">
      <c r="A20" s="60" t="n"/>
      <c r="B20" s="60" t="n"/>
      <c r="C20" s="60" t="n"/>
      <c r="D20" s="60" t="n"/>
      <c r="E20" s="60" t="n"/>
      <c r="F20" s="61" t="n"/>
      <c r="G20" s="60" t="n"/>
      <c r="H20" s="60" t="n"/>
      <c r="I20" s="60" t="n"/>
      <c r="J20" s="61" t="n"/>
      <c r="K20" s="60" t="n"/>
      <c r="L20" s="60" t="n"/>
      <c r="M20" s="60" t="n"/>
      <c r="N20" s="60" t="n"/>
      <c r="O20" s="61" t="n"/>
      <c r="P20" s="60" t="n"/>
      <c r="Q20" s="60" t="n"/>
      <c r="R20" s="60" t="n"/>
      <c r="S20" s="60" t="n"/>
      <c r="T20" s="60" t="n"/>
      <c r="U20" s="60" t="n"/>
      <c r="V20" s="60" t="n"/>
      <c r="W20" s="60" t="n"/>
      <c r="X20" s="62" t="n"/>
      <c r="Y20" s="63">
        <f>IF($A20="","",IF(OR($W20&lt;&gt;"Yes",$X20="",TODAY()-$X20&gt;90),"At Risk","Not At Risk"))</f>
        <v/>
      </c>
      <c r="Z20" s="61" t="n"/>
    </row>
    <row r="21" ht="15" customHeight="1" s="39">
      <c r="A21" s="60" t="n"/>
      <c r="B21" s="60" t="n"/>
      <c r="C21" s="60" t="n"/>
      <c r="D21" s="60" t="n"/>
      <c r="E21" s="60" t="n"/>
      <c r="F21" s="61" t="n"/>
      <c r="G21" s="60" t="n"/>
      <c r="H21" s="60" t="n"/>
      <c r="I21" s="60" t="n"/>
      <c r="J21" s="61" t="n"/>
      <c r="K21" s="60" t="n"/>
      <c r="L21" s="60" t="n"/>
      <c r="M21" s="60" t="n"/>
      <c r="N21" s="60" t="n"/>
      <c r="O21" s="61" t="n"/>
      <c r="P21" s="60" t="n"/>
      <c r="Q21" s="60" t="n"/>
      <c r="R21" s="60" t="n"/>
      <c r="S21" s="60" t="n"/>
      <c r="T21" s="60" t="n"/>
      <c r="U21" s="60" t="n"/>
      <c r="V21" s="60" t="n"/>
      <c r="W21" s="60" t="n"/>
      <c r="X21" s="62" t="n"/>
      <c r="Y21" s="63">
        <f>IF($A21="","",IF(OR($W21&lt;&gt;"Yes",$X21="",TODAY()-$X21&gt;90),"At Risk","Not At Risk"))</f>
        <v/>
      </c>
      <c r="Z21" s="61" t="n"/>
    </row>
    <row r="22" ht="15" customHeight="1" s="39">
      <c r="A22" s="60" t="n"/>
      <c r="B22" s="60" t="n"/>
      <c r="C22" s="60" t="n"/>
      <c r="D22" s="60" t="n"/>
      <c r="E22" s="60" t="n"/>
      <c r="F22" s="61" t="n"/>
      <c r="G22" s="60" t="n"/>
      <c r="H22" s="60" t="n"/>
      <c r="I22" s="60" t="n"/>
      <c r="J22" s="61" t="n"/>
      <c r="K22" s="60" t="n"/>
      <c r="L22" s="60" t="n"/>
      <c r="M22" s="60" t="n"/>
      <c r="N22" s="60" t="n"/>
      <c r="O22" s="61" t="n"/>
      <c r="P22" s="60" t="n"/>
      <c r="Q22" s="60" t="n"/>
      <c r="R22" s="60" t="n"/>
      <c r="S22" s="60" t="n"/>
      <c r="T22" s="60" t="n"/>
      <c r="U22" s="60" t="n"/>
      <c r="V22" s="60" t="n"/>
      <c r="W22" s="60" t="n"/>
      <c r="X22" s="62" t="n"/>
      <c r="Y22" s="63">
        <f>IF($A22="","",IF(OR($W22&lt;&gt;"Yes",$X22="",TODAY()-$X22&gt;90),"At Risk","Not At Risk"))</f>
        <v/>
      </c>
      <c r="Z22" s="61" t="n"/>
    </row>
    <row r="23" ht="15" customHeight="1" s="39">
      <c r="A23" s="60" t="n"/>
      <c r="B23" s="60" t="n"/>
      <c r="C23" s="60" t="n"/>
      <c r="D23" s="60" t="n"/>
      <c r="E23" s="60" t="n"/>
      <c r="F23" s="61" t="n"/>
      <c r="G23" s="60" t="n"/>
      <c r="H23" s="60" t="n"/>
      <c r="I23" s="60" t="n"/>
      <c r="J23" s="61" t="n"/>
      <c r="K23" s="60" t="n"/>
      <c r="L23" s="60" t="n"/>
      <c r="M23" s="60" t="n"/>
      <c r="N23" s="60" t="n"/>
      <c r="O23" s="61" t="n"/>
      <c r="P23" s="60" t="n"/>
      <c r="Q23" s="60" t="n"/>
      <c r="R23" s="60" t="n"/>
      <c r="S23" s="60" t="n"/>
      <c r="T23" s="60" t="n"/>
      <c r="U23" s="60" t="n"/>
      <c r="V23" s="60" t="n"/>
      <c r="W23" s="60" t="n"/>
      <c r="X23" s="62" t="n"/>
      <c r="Y23" s="63">
        <f>IF($A23="","",IF(OR($W23&lt;&gt;"Yes",$X23="",TODAY()-$X23&gt;90),"At Risk","Not At Risk"))</f>
        <v/>
      </c>
      <c r="Z23" s="61" t="n"/>
    </row>
    <row r="24" ht="15" customHeight="1" s="39">
      <c r="A24" s="60" t="n"/>
      <c r="B24" s="60" t="n"/>
      <c r="C24" s="60" t="n"/>
      <c r="D24" s="60" t="n"/>
      <c r="E24" s="60" t="n"/>
      <c r="F24" s="61" t="n"/>
      <c r="G24" s="60" t="n"/>
      <c r="H24" s="60" t="n"/>
      <c r="I24" s="60" t="n"/>
      <c r="J24" s="61" t="n"/>
      <c r="K24" s="60" t="n"/>
      <c r="L24" s="60" t="n"/>
      <c r="M24" s="60" t="n"/>
      <c r="N24" s="60" t="n"/>
      <c r="O24" s="61" t="n"/>
      <c r="P24" s="60" t="n"/>
      <c r="Q24" s="60" t="n"/>
      <c r="R24" s="60" t="n"/>
      <c r="S24" s="60" t="n"/>
      <c r="T24" s="60" t="n"/>
      <c r="U24" s="60" t="n"/>
      <c r="V24" s="60" t="n"/>
      <c r="W24" s="60" t="n"/>
      <c r="X24" s="62" t="n"/>
      <c r="Y24" s="63">
        <f>IF($A24="","",IF(OR($W24&lt;&gt;"Yes",$X24="",TODAY()-$X24&gt;90),"At Risk","Not At Risk"))</f>
        <v/>
      </c>
      <c r="Z24" s="61" t="n"/>
    </row>
    <row r="25" ht="15" customHeight="1" s="39">
      <c r="A25" s="60" t="n"/>
      <c r="B25" s="60" t="n"/>
      <c r="C25" s="60" t="n"/>
      <c r="D25" s="60" t="n"/>
      <c r="E25" s="60" t="n"/>
      <c r="F25" s="61" t="n"/>
      <c r="G25" s="60" t="n"/>
      <c r="H25" s="60" t="n"/>
      <c r="I25" s="60" t="n"/>
      <c r="J25" s="61" t="n"/>
      <c r="K25" s="60" t="n"/>
      <c r="L25" s="60" t="n"/>
      <c r="M25" s="60" t="n"/>
      <c r="N25" s="60" t="n"/>
      <c r="O25" s="61" t="n"/>
      <c r="P25" s="60" t="n"/>
      <c r="Q25" s="60" t="n"/>
      <c r="R25" s="60" t="n"/>
      <c r="S25" s="60" t="n"/>
      <c r="T25" s="60" t="n"/>
      <c r="U25" s="60" t="n"/>
      <c r="V25" s="60" t="n"/>
      <c r="W25" s="60" t="n"/>
      <c r="X25" s="62" t="n"/>
      <c r="Y25" s="63">
        <f>IF($A25="","",IF(OR($W25&lt;&gt;"Yes",$X25="",TODAY()-$X25&gt;90),"At Risk","Not At Risk"))</f>
        <v/>
      </c>
      <c r="Z25" s="61" t="n"/>
    </row>
    <row r="26" ht="15" customHeight="1" s="39">
      <c r="A26" s="60" t="n"/>
      <c r="B26" s="60" t="n"/>
      <c r="C26" s="60" t="n"/>
      <c r="D26" s="60" t="n"/>
      <c r="E26" s="60" t="n"/>
      <c r="F26" s="61" t="n"/>
      <c r="G26" s="60" t="n"/>
      <c r="H26" s="60" t="n"/>
      <c r="I26" s="60" t="n"/>
      <c r="J26" s="61" t="n"/>
      <c r="K26" s="60" t="n"/>
      <c r="L26" s="60" t="n"/>
      <c r="M26" s="60" t="n"/>
      <c r="N26" s="60" t="n"/>
      <c r="O26" s="61" t="n"/>
      <c r="P26" s="60" t="n"/>
      <c r="Q26" s="60" t="n"/>
      <c r="R26" s="60" t="n"/>
      <c r="S26" s="60" t="n"/>
      <c r="T26" s="60" t="n"/>
      <c r="U26" s="60" t="n"/>
      <c r="V26" s="60" t="n"/>
      <c r="W26" s="60" t="n"/>
      <c r="X26" s="62" t="n"/>
      <c r="Y26" s="63">
        <f>IF($A26="","",IF(OR($W26&lt;&gt;"Yes",$X26="",TODAY()-$X26&gt;90),"At Risk","Not At Risk"))</f>
        <v/>
      </c>
      <c r="Z26" s="61" t="n"/>
    </row>
    <row r="27" ht="15" customHeight="1" s="39">
      <c r="A27" s="60" t="n"/>
      <c r="B27" s="60" t="n"/>
      <c r="C27" s="60" t="n"/>
      <c r="D27" s="60" t="n"/>
      <c r="E27" s="60" t="n"/>
      <c r="F27" s="61" t="n"/>
      <c r="G27" s="60" t="n"/>
      <c r="H27" s="60" t="n"/>
      <c r="I27" s="60" t="n"/>
      <c r="J27" s="61" t="n"/>
      <c r="K27" s="60" t="n"/>
      <c r="L27" s="60" t="n"/>
      <c r="M27" s="60" t="n"/>
      <c r="N27" s="60" t="n"/>
      <c r="O27" s="61" t="n"/>
      <c r="P27" s="60" t="n"/>
      <c r="Q27" s="60" t="n"/>
      <c r="R27" s="60" t="n"/>
      <c r="S27" s="60" t="n"/>
      <c r="T27" s="60" t="n"/>
      <c r="U27" s="60" t="n"/>
      <c r="V27" s="60" t="n"/>
      <c r="W27" s="60" t="n"/>
      <c r="X27" s="62" t="n"/>
      <c r="Y27" s="63">
        <f>IF($A27="","",IF(OR($W27&lt;&gt;"Yes",$X27="",TODAY()-$X27&gt;90),"At Risk","Not At Risk"))</f>
        <v/>
      </c>
      <c r="Z27" s="61" t="n"/>
    </row>
    <row r="28" ht="15" customHeight="1" s="39">
      <c r="A28" s="60" t="n"/>
      <c r="B28" s="60" t="n"/>
      <c r="C28" s="60" t="n"/>
      <c r="D28" s="60" t="n"/>
      <c r="E28" s="60" t="n"/>
      <c r="F28" s="61" t="n"/>
      <c r="G28" s="60" t="n"/>
      <c r="H28" s="60" t="n"/>
      <c r="I28" s="60" t="n"/>
      <c r="J28" s="61" t="n"/>
      <c r="K28" s="60" t="n"/>
      <c r="L28" s="60" t="n"/>
      <c r="M28" s="60" t="n"/>
      <c r="N28" s="60" t="n"/>
      <c r="O28" s="61" t="n"/>
      <c r="P28" s="60" t="n"/>
      <c r="Q28" s="60" t="n"/>
      <c r="R28" s="60" t="n"/>
      <c r="S28" s="60" t="n"/>
      <c r="T28" s="60" t="n"/>
      <c r="U28" s="60" t="n"/>
      <c r="V28" s="60" t="n"/>
      <c r="W28" s="60" t="n"/>
      <c r="X28" s="62" t="n"/>
      <c r="Y28" s="63">
        <f>IF($A28="","",IF(OR($W28&lt;&gt;"Yes",$X28="",TODAY()-$X28&gt;90),"At Risk","Not At Risk"))</f>
        <v/>
      </c>
      <c r="Z28" s="61" t="n"/>
    </row>
    <row r="29" ht="15" customHeight="1" s="39">
      <c r="A29" s="60" t="n"/>
      <c r="B29" s="60" t="n"/>
      <c r="C29" s="60" t="n"/>
      <c r="D29" s="60" t="n"/>
      <c r="E29" s="60" t="n"/>
      <c r="F29" s="61" t="n"/>
      <c r="G29" s="60" t="n"/>
      <c r="H29" s="60" t="n"/>
      <c r="I29" s="60" t="n"/>
      <c r="J29" s="61" t="n"/>
      <c r="K29" s="60" t="n"/>
      <c r="L29" s="60" t="n"/>
      <c r="M29" s="60" t="n"/>
      <c r="N29" s="60" t="n"/>
      <c r="O29" s="61" t="n"/>
      <c r="P29" s="60" t="n"/>
      <c r="Q29" s="60" t="n"/>
      <c r="R29" s="60" t="n"/>
      <c r="S29" s="60" t="n"/>
      <c r="T29" s="60" t="n"/>
      <c r="U29" s="60" t="n"/>
      <c r="V29" s="60" t="n"/>
      <c r="W29" s="60" t="n"/>
      <c r="X29" s="62" t="n"/>
      <c r="Y29" s="63">
        <f>IF($A29="","",IF(OR($W29&lt;&gt;"Yes",$X29="",TODAY()-$X29&gt;90),"At Risk","Not At Risk"))</f>
        <v/>
      </c>
      <c r="Z29" s="61" t="n"/>
    </row>
    <row r="30" ht="15" customHeight="1" s="39">
      <c r="A30" s="60" t="n"/>
      <c r="B30" s="60" t="n"/>
      <c r="C30" s="60" t="n"/>
      <c r="D30" s="60" t="n"/>
      <c r="E30" s="60" t="n"/>
      <c r="F30" s="61" t="n"/>
      <c r="G30" s="60" t="n"/>
      <c r="H30" s="60" t="n"/>
      <c r="I30" s="60" t="n"/>
      <c r="J30" s="61" t="n"/>
      <c r="K30" s="60" t="n"/>
      <c r="L30" s="60" t="n"/>
      <c r="M30" s="60" t="n"/>
      <c r="N30" s="60" t="n"/>
      <c r="O30" s="61" t="n"/>
      <c r="P30" s="60" t="n"/>
      <c r="Q30" s="60" t="n"/>
      <c r="R30" s="60" t="n"/>
      <c r="S30" s="60" t="n"/>
      <c r="T30" s="60" t="n"/>
      <c r="U30" s="60" t="n"/>
      <c r="V30" s="60" t="n"/>
      <c r="W30" s="60" t="n"/>
      <c r="X30" s="62" t="n"/>
      <c r="Y30" s="63">
        <f>IF($A30="","",IF(OR($W30&lt;&gt;"Yes",$X30="",TODAY()-$X30&gt;90),"At Risk","Not At Risk"))</f>
        <v/>
      </c>
      <c r="Z30" s="61" t="n"/>
    </row>
    <row r="31" ht="15" customHeight="1" s="39">
      <c r="A31" s="60" t="n"/>
      <c r="B31" s="60" t="n"/>
      <c r="C31" s="60" t="n"/>
      <c r="D31" s="60" t="n"/>
      <c r="E31" s="60" t="n"/>
      <c r="F31" s="61" t="n"/>
      <c r="G31" s="60" t="n"/>
      <c r="H31" s="60" t="n"/>
      <c r="I31" s="60" t="n"/>
      <c r="J31" s="61" t="n"/>
      <c r="K31" s="60" t="n"/>
      <c r="L31" s="60" t="n"/>
      <c r="M31" s="60" t="n"/>
      <c r="N31" s="60" t="n"/>
      <c r="O31" s="61" t="n"/>
      <c r="P31" s="60" t="n"/>
      <c r="Q31" s="60" t="n"/>
      <c r="R31" s="60" t="n"/>
      <c r="S31" s="60" t="n"/>
      <c r="T31" s="60" t="n"/>
      <c r="U31" s="60" t="n"/>
      <c r="V31" s="60" t="n"/>
      <c r="W31" s="60" t="n"/>
      <c r="X31" s="62" t="n"/>
      <c r="Y31" s="63">
        <f>IF($A31="","",IF(OR($W31&lt;&gt;"Yes",$X31="",TODAY()-$X31&gt;90),"At Risk","Not At Risk"))</f>
        <v/>
      </c>
      <c r="Z31" s="61" t="n"/>
    </row>
    <row r="32" ht="15" customHeight="1" s="39">
      <c r="A32" s="60" t="n"/>
      <c r="B32" s="60" t="n"/>
      <c r="C32" s="60" t="n"/>
      <c r="D32" s="60" t="n"/>
      <c r="E32" s="60" t="n"/>
      <c r="F32" s="61" t="n"/>
      <c r="G32" s="60" t="n"/>
      <c r="H32" s="60" t="n"/>
      <c r="I32" s="60" t="n"/>
      <c r="J32" s="61" t="n"/>
      <c r="K32" s="60" t="n"/>
      <c r="L32" s="60" t="n"/>
      <c r="M32" s="60" t="n"/>
      <c r="N32" s="60" t="n"/>
      <c r="O32" s="61" t="n"/>
      <c r="P32" s="60" t="n"/>
      <c r="Q32" s="60" t="n"/>
      <c r="R32" s="60" t="n"/>
      <c r="S32" s="60" t="n"/>
      <c r="T32" s="60" t="n"/>
      <c r="U32" s="60" t="n"/>
      <c r="V32" s="60" t="n"/>
      <c r="W32" s="60" t="n"/>
      <c r="X32" s="62" t="n"/>
      <c r="Y32" s="63">
        <f>IF($A32="","",IF(OR($W32&lt;&gt;"Yes",$X32="",TODAY()-$X32&gt;90),"At Risk","Not At Risk"))</f>
        <v/>
      </c>
      <c r="Z32" s="61" t="n"/>
    </row>
    <row r="33" ht="15" customHeight="1" s="39">
      <c r="A33" s="60" t="n"/>
      <c r="B33" s="60" t="n"/>
      <c r="C33" s="60" t="n"/>
      <c r="D33" s="60" t="n"/>
      <c r="E33" s="60" t="n"/>
      <c r="F33" s="61" t="n"/>
      <c r="G33" s="60" t="n"/>
      <c r="H33" s="60" t="n"/>
      <c r="I33" s="60" t="n"/>
      <c r="J33" s="61" t="n"/>
      <c r="K33" s="60" t="n"/>
      <c r="L33" s="60" t="n"/>
      <c r="M33" s="60" t="n"/>
      <c r="N33" s="60" t="n"/>
      <c r="O33" s="61" t="n"/>
      <c r="P33" s="60" t="n"/>
      <c r="Q33" s="60" t="n"/>
      <c r="R33" s="60" t="n"/>
      <c r="S33" s="60" t="n"/>
      <c r="T33" s="60" t="n"/>
      <c r="U33" s="60" t="n"/>
      <c r="V33" s="60" t="n"/>
      <c r="W33" s="60" t="n"/>
      <c r="X33" s="62" t="n"/>
      <c r="Y33" s="63">
        <f>IF($A33="","",IF(OR($W33&lt;&gt;"Yes",$X33="",TODAY()-$X33&gt;90),"At Risk","Not At Risk"))</f>
        <v/>
      </c>
      <c r="Z33" s="61" t="n"/>
    </row>
    <row r="34" ht="15" customHeight="1" s="39">
      <c r="A34" s="60" t="n"/>
      <c r="B34" s="60" t="n"/>
      <c r="C34" s="60" t="n"/>
      <c r="D34" s="60" t="n"/>
      <c r="E34" s="60" t="n"/>
      <c r="F34" s="61" t="n"/>
      <c r="G34" s="60" t="n"/>
      <c r="H34" s="60" t="n"/>
      <c r="I34" s="60" t="n"/>
      <c r="J34" s="61" t="n"/>
      <c r="K34" s="60" t="n"/>
      <c r="L34" s="60" t="n"/>
      <c r="M34" s="60" t="n"/>
      <c r="N34" s="60" t="n"/>
      <c r="O34" s="61" t="n"/>
      <c r="P34" s="60" t="n"/>
      <c r="Q34" s="60" t="n"/>
      <c r="R34" s="60" t="n"/>
      <c r="S34" s="60" t="n"/>
      <c r="T34" s="60" t="n"/>
      <c r="U34" s="60" t="n"/>
      <c r="V34" s="60" t="n"/>
      <c r="W34" s="60" t="n"/>
      <c r="X34" s="62" t="n"/>
      <c r="Y34" s="63">
        <f>IF($A34="","",IF(OR($W34&lt;&gt;"Yes",$X34="",TODAY()-$X34&gt;90),"At Risk","Not At Risk"))</f>
        <v/>
      </c>
      <c r="Z34" s="61" t="n"/>
    </row>
    <row r="35" ht="15" customHeight="1" s="39">
      <c r="A35" s="60" t="n"/>
      <c r="B35" s="60" t="n"/>
      <c r="C35" s="60" t="n"/>
      <c r="D35" s="60" t="n"/>
      <c r="E35" s="60" t="n"/>
      <c r="F35" s="61" t="n"/>
      <c r="G35" s="60" t="n"/>
      <c r="H35" s="60" t="n"/>
      <c r="I35" s="60" t="n"/>
      <c r="J35" s="61" t="n"/>
      <c r="K35" s="60" t="n"/>
      <c r="L35" s="60" t="n"/>
      <c r="M35" s="60" t="n"/>
      <c r="N35" s="60" t="n"/>
      <c r="O35" s="61" t="n"/>
      <c r="P35" s="60" t="n"/>
      <c r="Q35" s="60" t="n"/>
      <c r="R35" s="60" t="n"/>
      <c r="S35" s="60" t="n"/>
      <c r="T35" s="60" t="n"/>
      <c r="U35" s="60" t="n"/>
      <c r="V35" s="60" t="n"/>
      <c r="W35" s="60" t="n"/>
      <c r="X35" s="62" t="n"/>
      <c r="Y35" s="63">
        <f>IF($A35="","",IF(OR($W35&lt;&gt;"Yes",$X35="",TODAY()-$X35&gt;90),"At Risk","Not At Risk"))</f>
        <v/>
      </c>
      <c r="Z35" s="61" t="n"/>
    </row>
    <row r="36" ht="15" customHeight="1" s="39">
      <c r="A36" s="60" t="n"/>
      <c r="B36" s="60" t="n"/>
      <c r="C36" s="60" t="n"/>
      <c r="D36" s="60" t="n"/>
      <c r="E36" s="60" t="n"/>
      <c r="F36" s="61" t="n"/>
      <c r="G36" s="60" t="n"/>
      <c r="H36" s="60" t="n"/>
      <c r="I36" s="60" t="n"/>
      <c r="J36" s="61" t="n"/>
      <c r="K36" s="60" t="n"/>
      <c r="L36" s="60" t="n"/>
      <c r="M36" s="60" t="n"/>
      <c r="N36" s="60" t="n"/>
      <c r="O36" s="61" t="n"/>
      <c r="P36" s="60" t="n"/>
      <c r="Q36" s="60" t="n"/>
      <c r="R36" s="60" t="n"/>
      <c r="S36" s="60" t="n"/>
      <c r="T36" s="60" t="n"/>
      <c r="U36" s="60" t="n"/>
      <c r="V36" s="60" t="n"/>
      <c r="W36" s="60" t="n"/>
      <c r="X36" s="62" t="n"/>
      <c r="Y36" s="63">
        <f>IF($A36="","",IF(OR($W36&lt;&gt;"Yes",$X36="",TODAY()-$X36&gt;90),"At Risk","Not At Risk"))</f>
        <v/>
      </c>
      <c r="Z36" s="61" t="n"/>
    </row>
    <row r="37" ht="15" customHeight="1" s="39">
      <c r="A37" s="60" t="n"/>
      <c r="B37" s="60" t="n"/>
      <c r="C37" s="60" t="n"/>
      <c r="D37" s="60" t="n"/>
      <c r="E37" s="60" t="n"/>
      <c r="F37" s="61" t="n"/>
      <c r="G37" s="60" t="n"/>
      <c r="H37" s="60" t="n"/>
      <c r="I37" s="60" t="n"/>
      <c r="J37" s="61" t="n"/>
      <c r="K37" s="60" t="n"/>
      <c r="L37" s="60" t="n"/>
      <c r="M37" s="60" t="n"/>
      <c r="N37" s="60" t="n"/>
      <c r="O37" s="61" t="n"/>
      <c r="P37" s="60" t="n"/>
      <c r="Q37" s="60" t="n"/>
      <c r="R37" s="60" t="n"/>
      <c r="S37" s="60" t="n"/>
      <c r="T37" s="60" t="n"/>
      <c r="U37" s="60" t="n"/>
      <c r="V37" s="60" t="n"/>
      <c r="W37" s="60" t="n"/>
      <c r="X37" s="62" t="n"/>
      <c r="Y37" s="63">
        <f>IF($A37="","",IF(OR($W37&lt;&gt;"Yes",$X37="",TODAY()-$X37&gt;90),"At Risk","Not At Risk"))</f>
        <v/>
      </c>
      <c r="Z37" s="61" t="n"/>
    </row>
    <row r="38" ht="15" customHeight="1" s="39">
      <c r="A38" s="60" t="n"/>
      <c r="B38" s="60" t="n"/>
      <c r="C38" s="60" t="n"/>
      <c r="D38" s="60" t="n"/>
      <c r="E38" s="60" t="n"/>
      <c r="F38" s="61" t="n"/>
      <c r="G38" s="60" t="n"/>
      <c r="H38" s="60" t="n"/>
      <c r="I38" s="60" t="n"/>
      <c r="J38" s="61" t="n"/>
      <c r="K38" s="60" t="n"/>
      <c r="L38" s="60" t="n"/>
      <c r="M38" s="60" t="n"/>
      <c r="N38" s="60" t="n"/>
      <c r="O38" s="61" t="n"/>
      <c r="P38" s="60" t="n"/>
      <c r="Q38" s="60" t="n"/>
      <c r="R38" s="60" t="n"/>
      <c r="S38" s="60" t="n"/>
      <c r="T38" s="60" t="n"/>
      <c r="U38" s="60" t="n"/>
      <c r="V38" s="60" t="n"/>
      <c r="W38" s="60" t="n"/>
      <c r="X38" s="62" t="n"/>
      <c r="Y38" s="63">
        <f>IF($A38="","",IF(OR($W38&lt;&gt;"Yes",$X38="",TODAY()-$X38&gt;90),"At Risk","Not At Risk"))</f>
        <v/>
      </c>
      <c r="Z38" s="61" t="n"/>
    </row>
    <row r="39" ht="15" customHeight="1" s="39">
      <c r="A39" s="60" t="n"/>
      <c r="B39" s="60" t="n"/>
      <c r="C39" s="60" t="n"/>
      <c r="D39" s="60" t="n"/>
      <c r="E39" s="60" t="n"/>
      <c r="F39" s="61" t="n"/>
      <c r="G39" s="60" t="n"/>
      <c r="H39" s="60" t="n"/>
      <c r="I39" s="60" t="n"/>
      <c r="J39" s="61" t="n"/>
      <c r="K39" s="60" t="n"/>
      <c r="L39" s="60" t="n"/>
      <c r="M39" s="60" t="n"/>
      <c r="N39" s="60" t="n"/>
      <c r="O39" s="61" t="n"/>
      <c r="P39" s="60" t="n"/>
      <c r="Q39" s="60" t="n"/>
      <c r="R39" s="60" t="n"/>
      <c r="S39" s="60" t="n"/>
      <c r="T39" s="60" t="n"/>
      <c r="U39" s="60" t="n"/>
      <c r="V39" s="60" t="n"/>
      <c r="W39" s="60" t="n"/>
      <c r="X39" s="62" t="n"/>
      <c r="Y39" s="63">
        <f>IF($A39="","",IF(OR($W39&lt;&gt;"Yes",$X39="",TODAY()-$X39&gt;90),"At Risk","Not At Risk"))</f>
        <v/>
      </c>
      <c r="Z39" s="61" t="n"/>
    </row>
    <row r="40" ht="15" customHeight="1" s="39">
      <c r="A40" s="60" t="n"/>
      <c r="B40" s="60" t="n"/>
      <c r="C40" s="60" t="n"/>
      <c r="D40" s="60" t="n"/>
      <c r="E40" s="60" t="n"/>
      <c r="F40" s="61" t="n"/>
      <c r="G40" s="60" t="n"/>
      <c r="H40" s="60" t="n"/>
      <c r="I40" s="60" t="n"/>
      <c r="J40" s="61" t="n"/>
      <c r="K40" s="60" t="n"/>
      <c r="L40" s="60" t="n"/>
      <c r="M40" s="60" t="n"/>
      <c r="N40" s="60" t="n"/>
      <c r="O40" s="61" t="n"/>
      <c r="P40" s="60" t="n"/>
      <c r="Q40" s="60" t="n"/>
      <c r="R40" s="60" t="n"/>
      <c r="S40" s="60" t="n"/>
      <c r="T40" s="60" t="n"/>
      <c r="U40" s="60" t="n"/>
      <c r="V40" s="60" t="n"/>
      <c r="W40" s="60" t="n"/>
      <c r="X40" s="62" t="n"/>
      <c r="Y40" s="63">
        <f>IF($A40="","",IF(OR($W40&lt;&gt;"Yes",$X40="",TODAY()-$X40&gt;90),"At Risk","Not At Risk"))</f>
        <v/>
      </c>
      <c r="Z40" s="61" t="n"/>
    </row>
    <row r="41" ht="15" customHeight="1" s="39">
      <c r="A41" s="60" t="n"/>
      <c r="B41" s="60" t="n"/>
      <c r="C41" s="60" t="n"/>
      <c r="D41" s="60" t="n"/>
      <c r="E41" s="60" t="n"/>
      <c r="F41" s="61" t="n"/>
      <c r="G41" s="60" t="n"/>
      <c r="H41" s="60" t="n"/>
      <c r="I41" s="60" t="n"/>
      <c r="J41" s="61" t="n"/>
      <c r="K41" s="60" t="n"/>
      <c r="L41" s="60" t="n"/>
      <c r="M41" s="60" t="n"/>
      <c r="N41" s="60" t="n"/>
      <c r="O41" s="61" t="n"/>
      <c r="P41" s="60" t="n"/>
      <c r="Q41" s="60" t="n"/>
      <c r="R41" s="60" t="n"/>
      <c r="S41" s="60" t="n"/>
      <c r="T41" s="60" t="n"/>
      <c r="U41" s="60" t="n"/>
      <c r="V41" s="60" t="n"/>
      <c r="W41" s="60" t="n"/>
      <c r="X41" s="62" t="n"/>
      <c r="Y41" s="63">
        <f>IF($A41="","",IF(OR($W41&lt;&gt;"Yes",$X41="",TODAY()-$X41&gt;90),"At Risk","Not At Risk"))</f>
        <v/>
      </c>
      <c r="Z41" s="61" t="n"/>
    </row>
    <row r="42" ht="15" customHeight="1" s="39">
      <c r="A42" s="60" t="n"/>
      <c r="B42" s="60" t="n"/>
      <c r="C42" s="60" t="n"/>
      <c r="D42" s="60" t="n"/>
      <c r="E42" s="60" t="n"/>
      <c r="F42" s="61" t="n"/>
      <c r="G42" s="60" t="n"/>
      <c r="H42" s="60" t="n"/>
      <c r="I42" s="60" t="n"/>
      <c r="J42" s="61" t="n"/>
      <c r="K42" s="60" t="n"/>
      <c r="L42" s="60" t="n"/>
      <c r="M42" s="60" t="n"/>
      <c r="N42" s="60" t="n"/>
      <c r="O42" s="61" t="n"/>
      <c r="P42" s="60" t="n"/>
      <c r="Q42" s="60" t="n"/>
      <c r="R42" s="60" t="n"/>
      <c r="S42" s="60" t="n"/>
      <c r="T42" s="60" t="n"/>
      <c r="U42" s="60" t="n"/>
      <c r="V42" s="60" t="n"/>
      <c r="W42" s="60" t="n"/>
      <c r="X42" s="62" t="n"/>
      <c r="Y42" s="63">
        <f>IF($A42="","",IF(OR($W42&lt;&gt;"Yes",$X42="",TODAY()-$X42&gt;90),"At Risk","Not At Risk"))</f>
        <v/>
      </c>
      <c r="Z42" s="61" t="n"/>
    </row>
    <row r="43" ht="15" customHeight="1" s="39">
      <c r="A43" s="60" t="n"/>
      <c r="B43" s="60" t="n"/>
      <c r="C43" s="60" t="n"/>
      <c r="D43" s="60" t="n"/>
      <c r="E43" s="60" t="n"/>
      <c r="F43" s="61" t="n"/>
      <c r="G43" s="60" t="n"/>
      <c r="H43" s="60" t="n"/>
      <c r="I43" s="60" t="n"/>
      <c r="J43" s="61" t="n"/>
      <c r="K43" s="60" t="n"/>
      <c r="L43" s="60" t="n"/>
      <c r="M43" s="60" t="n"/>
      <c r="N43" s="60" t="n"/>
      <c r="O43" s="61" t="n"/>
      <c r="P43" s="60" t="n"/>
      <c r="Q43" s="60" t="n"/>
      <c r="R43" s="60" t="n"/>
      <c r="S43" s="60" t="n"/>
      <c r="T43" s="60" t="n"/>
      <c r="U43" s="60" t="n"/>
      <c r="V43" s="60" t="n"/>
      <c r="W43" s="60" t="n"/>
      <c r="X43" s="62" t="n"/>
      <c r="Y43" s="63">
        <f>IF($A43="","",IF(OR($W43&lt;&gt;"Yes",$X43="",TODAY()-$X43&gt;90),"At Risk","Not At Risk"))</f>
        <v/>
      </c>
      <c r="Z43" s="61" t="n"/>
    </row>
    <row r="44" ht="15" customHeight="1" s="39">
      <c r="A44" s="60" t="n"/>
      <c r="B44" s="60" t="n"/>
      <c r="C44" s="60" t="n"/>
      <c r="D44" s="60" t="n"/>
      <c r="E44" s="60" t="n"/>
      <c r="F44" s="61" t="n"/>
      <c r="G44" s="60" t="n"/>
      <c r="H44" s="60" t="n"/>
      <c r="I44" s="60" t="n"/>
      <c r="J44" s="61" t="n"/>
      <c r="K44" s="60" t="n"/>
      <c r="L44" s="60" t="n"/>
      <c r="M44" s="60" t="n"/>
      <c r="N44" s="60" t="n"/>
      <c r="O44" s="61" t="n"/>
      <c r="P44" s="60" t="n"/>
      <c r="Q44" s="60" t="n"/>
      <c r="R44" s="60" t="n"/>
      <c r="S44" s="60" t="n"/>
      <c r="T44" s="60" t="n"/>
      <c r="U44" s="60" t="n"/>
      <c r="V44" s="60" t="n"/>
      <c r="W44" s="60" t="n"/>
      <c r="X44" s="62" t="n"/>
      <c r="Y44" s="63">
        <f>IF($A44="","",IF(OR($W44&lt;&gt;"Yes",$X44="",TODAY()-$X44&gt;90),"At Risk","Not At Risk"))</f>
        <v/>
      </c>
      <c r="Z44" s="61" t="n"/>
    </row>
    <row r="45" ht="15" customHeight="1" s="39">
      <c r="A45" s="60" t="n"/>
      <c r="B45" s="60" t="n"/>
      <c r="C45" s="60" t="n"/>
      <c r="D45" s="60" t="n"/>
      <c r="E45" s="60" t="n"/>
      <c r="F45" s="61" t="n"/>
      <c r="G45" s="60" t="n"/>
      <c r="H45" s="60" t="n"/>
      <c r="I45" s="60" t="n"/>
      <c r="J45" s="61" t="n"/>
      <c r="K45" s="60" t="n"/>
      <c r="L45" s="60" t="n"/>
      <c r="M45" s="60" t="n"/>
      <c r="N45" s="60" t="n"/>
      <c r="O45" s="61" t="n"/>
      <c r="P45" s="60" t="n"/>
      <c r="Q45" s="60" t="n"/>
      <c r="R45" s="60" t="n"/>
      <c r="S45" s="60" t="n"/>
      <c r="T45" s="60" t="n"/>
      <c r="U45" s="60" t="n"/>
      <c r="V45" s="60" t="n"/>
      <c r="W45" s="60" t="n"/>
      <c r="X45" s="62" t="n"/>
      <c r="Y45" s="63">
        <f>IF($A45="","",IF(OR($W45&lt;&gt;"Yes",$X45="",TODAY()-$X45&gt;90),"At Risk","Not At Risk"))</f>
        <v/>
      </c>
      <c r="Z45" s="61" t="n"/>
    </row>
    <row r="46" ht="15" customHeight="1" s="39">
      <c r="A46" s="60" t="n"/>
      <c r="B46" s="60" t="n"/>
      <c r="C46" s="60" t="n"/>
      <c r="D46" s="60" t="n"/>
      <c r="E46" s="60" t="n"/>
      <c r="F46" s="61" t="n"/>
      <c r="G46" s="60" t="n"/>
      <c r="H46" s="60" t="n"/>
      <c r="I46" s="60" t="n"/>
      <c r="J46" s="61" t="n"/>
      <c r="K46" s="60" t="n"/>
      <c r="L46" s="60" t="n"/>
      <c r="M46" s="60" t="n"/>
      <c r="N46" s="60" t="n"/>
      <c r="O46" s="61" t="n"/>
      <c r="P46" s="60" t="n"/>
      <c r="Q46" s="60" t="n"/>
      <c r="R46" s="60" t="n"/>
      <c r="S46" s="60" t="n"/>
      <c r="T46" s="60" t="n"/>
      <c r="U46" s="60" t="n"/>
      <c r="V46" s="60" t="n"/>
      <c r="W46" s="60" t="n"/>
      <c r="X46" s="62" t="n"/>
      <c r="Y46" s="63">
        <f>IF($A46="","",IF(OR($W46&lt;&gt;"Yes",$X46="",TODAY()-$X46&gt;90),"At Risk","Not At Risk"))</f>
        <v/>
      </c>
      <c r="Z46" s="61" t="n"/>
    </row>
    <row r="47" ht="15" customHeight="1" s="39">
      <c r="A47" s="60" t="n"/>
      <c r="B47" s="60" t="n"/>
      <c r="C47" s="60" t="n"/>
      <c r="D47" s="60" t="n"/>
      <c r="E47" s="60" t="n"/>
      <c r="F47" s="61" t="n"/>
      <c r="G47" s="60" t="n"/>
      <c r="H47" s="60" t="n"/>
      <c r="I47" s="60" t="n"/>
      <c r="J47" s="61" t="n"/>
      <c r="K47" s="60" t="n"/>
      <c r="L47" s="60" t="n"/>
      <c r="M47" s="60" t="n"/>
      <c r="N47" s="60" t="n"/>
      <c r="O47" s="61" t="n"/>
      <c r="P47" s="60" t="n"/>
      <c r="Q47" s="60" t="n"/>
      <c r="R47" s="60" t="n"/>
      <c r="S47" s="60" t="n"/>
      <c r="T47" s="60" t="n"/>
      <c r="U47" s="60" t="n"/>
      <c r="V47" s="60" t="n"/>
      <c r="W47" s="60" t="n"/>
      <c r="X47" s="62" t="n"/>
      <c r="Y47" s="63">
        <f>IF($A47="","",IF(OR($W47&lt;&gt;"Yes",$X47="",TODAY()-$X47&gt;90),"At Risk","Not At Risk"))</f>
        <v/>
      </c>
      <c r="Z47" s="61" t="n"/>
    </row>
    <row r="48" ht="15" customHeight="1" s="39">
      <c r="A48" s="60" t="n"/>
      <c r="B48" s="60" t="n"/>
      <c r="C48" s="60" t="n"/>
      <c r="D48" s="60" t="n"/>
      <c r="E48" s="60" t="n"/>
      <c r="F48" s="61" t="n"/>
      <c r="G48" s="60" t="n"/>
      <c r="H48" s="60" t="n"/>
      <c r="I48" s="60" t="n"/>
      <c r="J48" s="61" t="n"/>
      <c r="K48" s="60" t="n"/>
      <c r="L48" s="60" t="n"/>
      <c r="M48" s="60" t="n"/>
      <c r="N48" s="60" t="n"/>
      <c r="O48" s="61" t="n"/>
      <c r="P48" s="60" t="n"/>
      <c r="Q48" s="60" t="n"/>
      <c r="R48" s="60" t="n"/>
      <c r="S48" s="60" t="n"/>
      <c r="T48" s="60" t="n"/>
      <c r="U48" s="60" t="n"/>
      <c r="V48" s="60" t="n"/>
      <c r="W48" s="60" t="n"/>
      <c r="X48" s="62" t="n"/>
      <c r="Y48" s="63">
        <f>IF($A48="","",IF(OR($W48&lt;&gt;"Yes",$X48="",TODAY()-$X48&gt;90),"At Risk","Not At Risk"))</f>
        <v/>
      </c>
      <c r="Z48" s="61" t="n"/>
    </row>
    <row r="49" ht="15" customHeight="1" s="39">
      <c r="A49" s="60" t="n"/>
      <c r="B49" s="60" t="n"/>
      <c r="C49" s="60" t="n"/>
      <c r="D49" s="60" t="n"/>
      <c r="E49" s="60" t="n"/>
      <c r="F49" s="61" t="n"/>
      <c r="G49" s="60" t="n"/>
      <c r="H49" s="60" t="n"/>
      <c r="I49" s="60" t="n"/>
      <c r="J49" s="61" t="n"/>
      <c r="K49" s="60" t="n"/>
      <c r="L49" s="60" t="n"/>
      <c r="M49" s="60" t="n"/>
      <c r="N49" s="60" t="n"/>
      <c r="O49" s="61" t="n"/>
      <c r="P49" s="60" t="n"/>
      <c r="Q49" s="60" t="n"/>
      <c r="R49" s="60" t="n"/>
      <c r="S49" s="60" t="n"/>
      <c r="T49" s="60" t="n"/>
      <c r="U49" s="60" t="n"/>
      <c r="V49" s="60" t="n"/>
      <c r="W49" s="60" t="n"/>
      <c r="X49" s="62" t="n"/>
      <c r="Y49" s="63">
        <f>IF($A49="","",IF(OR($W49&lt;&gt;"Yes",$X49="",TODAY()-$X49&gt;90),"At Risk","Not At Risk"))</f>
        <v/>
      </c>
      <c r="Z49" s="61" t="n"/>
    </row>
    <row r="50" ht="15" customHeight="1" s="39">
      <c r="A50" s="60" t="n"/>
      <c r="B50" s="60" t="n"/>
      <c r="C50" s="60" t="n"/>
      <c r="D50" s="60" t="n"/>
      <c r="E50" s="60" t="n"/>
      <c r="F50" s="61" t="n"/>
      <c r="G50" s="60" t="n"/>
      <c r="H50" s="60" t="n"/>
      <c r="I50" s="60" t="n"/>
      <c r="J50" s="61" t="n"/>
      <c r="K50" s="60" t="n"/>
      <c r="L50" s="60" t="n"/>
      <c r="M50" s="60" t="n"/>
      <c r="N50" s="60" t="n"/>
      <c r="O50" s="61" t="n"/>
      <c r="P50" s="60" t="n"/>
      <c r="Q50" s="60" t="n"/>
      <c r="R50" s="60" t="n"/>
      <c r="S50" s="60" t="n"/>
      <c r="T50" s="60" t="n"/>
      <c r="U50" s="60" t="n"/>
      <c r="V50" s="60" t="n"/>
      <c r="W50" s="60" t="n"/>
      <c r="X50" s="62" t="n"/>
      <c r="Y50" s="63">
        <f>IF($A50="","",IF(OR($W50&lt;&gt;"Yes",$X50="",TODAY()-$X50&gt;90),"At Risk","Not At Risk"))</f>
        <v/>
      </c>
      <c r="Z50" s="61" t="n"/>
    </row>
    <row r="51" ht="15" customHeight="1" s="39">
      <c r="A51" s="60" t="n"/>
      <c r="B51" s="60" t="n"/>
      <c r="C51" s="60" t="n"/>
      <c r="D51" s="60" t="n"/>
      <c r="E51" s="60" t="n"/>
      <c r="F51" s="61" t="n"/>
      <c r="G51" s="60" t="n"/>
      <c r="H51" s="60" t="n"/>
      <c r="I51" s="60" t="n"/>
      <c r="J51" s="61" t="n"/>
      <c r="K51" s="60" t="n"/>
      <c r="L51" s="60" t="n"/>
      <c r="M51" s="60" t="n"/>
      <c r="N51" s="60" t="n"/>
      <c r="O51" s="61" t="n"/>
      <c r="P51" s="60" t="n"/>
      <c r="Q51" s="60" t="n"/>
      <c r="R51" s="60" t="n"/>
      <c r="S51" s="60" t="n"/>
      <c r="T51" s="60" t="n"/>
      <c r="U51" s="60" t="n"/>
      <c r="V51" s="60" t="n"/>
      <c r="W51" s="60" t="n"/>
      <c r="X51" s="62" t="n"/>
      <c r="Y51" s="63">
        <f>IF($A51="","",IF(OR($W51&lt;&gt;"Yes",$X51="",TODAY()-$X51&gt;90),"At Risk","Not At Risk"))</f>
        <v/>
      </c>
      <c r="Z51" s="61" t="n"/>
    </row>
    <row r="52" ht="15" customHeight="1" s="39">
      <c r="A52" s="60" t="n"/>
      <c r="B52" s="60" t="n"/>
      <c r="C52" s="60" t="n"/>
      <c r="D52" s="60" t="n"/>
      <c r="E52" s="60" t="n"/>
      <c r="F52" s="61" t="n"/>
      <c r="G52" s="60" t="n"/>
      <c r="H52" s="60" t="n"/>
      <c r="I52" s="60" t="n"/>
      <c r="J52" s="61" t="n"/>
      <c r="K52" s="60" t="n"/>
      <c r="L52" s="60" t="n"/>
      <c r="M52" s="60" t="n"/>
      <c r="N52" s="60" t="n"/>
      <c r="O52" s="61" t="n"/>
      <c r="P52" s="60" t="n"/>
      <c r="Q52" s="60" t="n"/>
      <c r="R52" s="60" t="n"/>
      <c r="S52" s="60" t="n"/>
      <c r="T52" s="60" t="n"/>
      <c r="U52" s="60" t="n"/>
      <c r="V52" s="60" t="n"/>
      <c r="W52" s="60" t="n"/>
      <c r="X52" s="62" t="n"/>
      <c r="Y52" s="63">
        <f>IF($A52="","",IF(OR($W52&lt;&gt;"Yes",$X52="",TODAY()-$X52&gt;90),"At Risk","Not At Risk"))</f>
        <v/>
      </c>
      <c r="Z52" s="61" t="n"/>
    </row>
    <row r="53" ht="15" customHeight="1" s="39">
      <c r="A53" s="60" t="n"/>
      <c r="B53" s="60" t="n"/>
      <c r="C53" s="60" t="n"/>
      <c r="D53" s="60" t="n"/>
      <c r="E53" s="60" t="n"/>
      <c r="F53" s="61" t="n"/>
      <c r="G53" s="60" t="n"/>
      <c r="H53" s="60" t="n"/>
      <c r="I53" s="60" t="n"/>
      <c r="J53" s="61" t="n"/>
      <c r="K53" s="60" t="n"/>
      <c r="L53" s="60" t="n"/>
      <c r="M53" s="60" t="n"/>
      <c r="N53" s="60" t="n"/>
      <c r="O53" s="61" t="n"/>
      <c r="P53" s="60" t="n"/>
      <c r="Q53" s="60" t="n"/>
      <c r="R53" s="60" t="n"/>
      <c r="S53" s="60" t="n"/>
      <c r="T53" s="60" t="n"/>
      <c r="U53" s="60" t="n"/>
      <c r="V53" s="60" t="n"/>
      <c r="W53" s="60" t="n"/>
      <c r="X53" s="62" t="n"/>
      <c r="Y53" s="63">
        <f>IF($A53="","",IF(OR($W53&lt;&gt;"Yes",$X53="",TODAY()-$X53&gt;90),"At Risk","Not At Risk"))</f>
        <v/>
      </c>
      <c r="Z53" s="61" t="n"/>
    </row>
    <row r="54" ht="15" customHeight="1" s="39">
      <c r="A54" s="60" t="n"/>
      <c r="B54" s="60" t="n"/>
      <c r="C54" s="60" t="n"/>
      <c r="D54" s="60" t="n"/>
      <c r="E54" s="60" t="n"/>
      <c r="F54" s="61" t="n"/>
      <c r="G54" s="60" t="n"/>
      <c r="H54" s="60" t="n"/>
      <c r="I54" s="60" t="n"/>
      <c r="J54" s="61" t="n"/>
      <c r="K54" s="60" t="n"/>
      <c r="L54" s="60" t="n"/>
      <c r="M54" s="60" t="n"/>
      <c r="N54" s="60" t="n"/>
      <c r="O54" s="61" t="n"/>
      <c r="P54" s="60" t="n"/>
      <c r="Q54" s="60" t="n"/>
      <c r="R54" s="60" t="n"/>
      <c r="S54" s="60" t="n"/>
      <c r="T54" s="60" t="n"/>
      <c r="U54" s="60" t="n"/>
      <c r="V54" s="60" t="n"/>
      <c r="W54" s="60" t="n"/>
      <c r="X54" s="62" t="n"/>
      <c r="Y54" s="63">
        <f>IF($A54="","",IF(OR($W54&lt;&gt;"Yes",$X54="",TODAY()-$X54&gt;90),"At Risk","Not At Risk"))</f>
        <v/>
      </c>
      <c r="Z54" s="61" t="n"/>
    </row>
    <row r="55" ht="15" customHeight="1" s="39">
      <c r="A55" s="60" t="n"/>
      <c r="B55" s="60" t="n"/>
      <c r="C55" s="60" t="n"/>
      <c r="D55" s="60" t="n"/>
      <c r="E55" s="60" t="n"/>
      <c r="F55" s="61" t="n"/>
      <c r="G55" s="60" t="n"/>
      <c r="H55" s="60" t="n"/>
      <c r="I55" s="60" t="n"/>
      <c r="J55" s="61" t="n"/>
      <c r="K55" s="60" t="n"/>
      <c r="L55" s="60" t="n"/>
      <c r="M55" s="60" t="n"/>
      <c r="N55" s="60" t="n"/>
      <c r="O55" s="61" t="n"/>
      <c r="P55" s="60" t="n"/>
      <c r="Q55" s="60" t="n"/>
      <c r="R55" s="60" t="n"/>
      <c r="S55" s="60" t="n"/>
      <c r="T55" s="60" t="n"/>
      <c r="U55" s="60" t="n"/>
      <c r="V55" s="60" t="n"/>
      <c r="W55" s="60" t="n"/>
      <c r="X55" s="62" t="n"/>
      <c r="Y55" s="63">
        <f>IF($A55="","",IF(OR($W55&lt;&gt;"Yes",$X55="",TODAY()-$X55&gt;90),"At Risk","Not At Risk"))</f>
        <v/>
      </c>
      <c r="Z55" s="61" t="n"/>
    </row>
    <row r="56" ht="15" customHeight="1" s="39">
      <c r="A56" s="60" t="n"/>
      <c r="B56" s="60" t="n"/>
      <c r="C56" s="60" t="n"/>
      <c r="D56" s="60" t="n"/>
      <c r="E56" s="60" t="n"/>
      <c r="F56" s="61" t="n"/>
      <c r="G56" s="60" t="n"/>
      <c r="H56" s="60" t="n"/>
      <c r="I56" s="60" t="n"/>
      <c r="J56" s="61" t="n"/>
      <c r="K56" s="60" t="n"/>
      <c r="L56" s="60" t="n"/>
      <c r="M56" s="60" t="n"/>
      <c r="N56" s="60" t="n"/>
      <c r="O56" s="61" t="n"/>
      <c r="P56" s="60" t="n"/>
      <c r="Q56" s="60" t="n"/>
      <c r="R56" s="60" t="n"/>
      <c r="S56" s="60" t="n"/>
      <c r="T56" s="60" t="n"/>
      <c r="U56" s="60" t="n"/>
      <c r="V56" s="60" t="n"/>
      <c r="W56" s="60" t="n"/>
      <c r="X56" s="62" t="n"/>
      <c r="Y56" s="63">
        <f>IF($A56="","",IF(OR($W56&lt;&gt;"Yes",$X56="",TODAY()-$X56&gt;90),"At Risk","Not At Risk"))</f>
        <v/>
      </c>
      <c r="Z56" s="61" t="n"/>
    </row>
    <row r="57" ht="15" customHeight="1" s="39">
      <c r="A57" s="60" t="n"/>
      <c r="B57" s="60" t="n"/>
      <c r="C57" s="60" t="n"/>
      <c r="D57" s="60" t="n"/>
      <c r="E57" s="60" t="n"/>
      <c r="F57" s="61" t="n"/>
      <c r="G57" s="60" t="n"/>
      <c r="H57" s="60" t="n"/>
      <c r="I57" s="60" t="n"/>
      <c r="J57" s="61" t="n"/>
      <c r="K57" s="60" t="n"/>
      <c r="L57" s="60" t="n"/>
      <c r="M57" s="60" t="n"/>
      <c r="N57" s="60" t="n"/>
      <c r="O57" s="61" t="n"/>
      <c r="P57" s="60" t="n"/>
      <c r="Q57" s="60" t="n"/>
      <c r="R57" s="60" t="n"/>
      <c r="S57" s="60" t="n"/>
      <c r="T57" s="60" t="n"/>
      <c r="U57" s="60" t="n"/>
      <c r="V57" s="60" t="n"/>
      <c r="W57" s="60" t="n"/>
      <c r="X57" s="62" t="n"/>
      <c r="Y57" s="63">
        <f>IF($A57="","",IF(OR($W57&lt;&gt;"Yes",$X57="",TODAY()-$X57&gt;90),"At Risk","Not At Risk"))</f>
        <v/>
      </c>
      <c r="Z57" s="61" t="n"/>
    </row>
    <row r="58" ht="15" customHeight="1" s="39">
      <c r="A58" s="60" t="n"/>
      <c r="B58" s="60" t="n"/>
      <c r="C58" s="60" t="n"/>
      <c r="D58" s="60" t="n"/>
      <c r="E58" s="60" t="n"/>
      <c r="F58" s="61" t="n"/>
      <c r="G58" s="60" t="n"/>
      <c r="H58" s="60" t="n"/>
      <c r="I58" s="60" t="n"/>
      <c r="J58" s="61" t="n"/>
      <c r="K58" s="60" t="n"/>
      <c r="L58" s="60" t="n"/>
      <c r="M58" s="60" t="n"/>
      <c r="N58" s="60" t="n"/>
      <c r="O58" s="61" t="n"/>
      <c r="P58" s="60" t="n"/>
      <c r="Q58" s="60" t="n"/>
      <c r="R58" s="60" t="n"/>
      <c r="S58" s="60" t="n"/>
      <c r="T58" s="60" t="n"/>
      <c r="U58" s="60" t="n"/>
      <c r="V58" s="60" t="n"/>
      <c r="W58" s="60" t="n"/>
      <c r="X58" s="62" t="n"/>
      <c r="Y58" s="63">
        <f>IF($A58="","",IF(OR($W58&lt;&gt;"Yes",$X58="",TODAY()-$X58&gt;90),"At Risk","Not At Risk"))</f>
        <v/>
      </c>
      <c r="Z58" s="61" t="n"/>
    </row>
    <row r="59" ht="15" customHeight="1" s="39">
      <c r="A59" s="60" t="n"/>
      <c r="B59" s="60" t="n"/>
      <c r="C59" s="60" t="n"/>
      <c r="D59" s="60" t="n"/>
      <c r="E59" s="60" t="n"/>
      <c r="F59" s="61" t="n"/>
      <c r="G59" s="60" t="n"/>
      <c r="H59" s="60" t="n"/>
      <c r="I59" s="60" t="n"/>
      <c r="J59" s="61" t="n"/>
      <c r="K59" s="60" t="n"/>
      <c r="L59" s="60" t="n"/>
      <c r="M59" s="60" t="n"/>
      <c r="N59" s="60" t="n"/>
      <c r="O59" s="61" t="n"/>
      <c r="P59" s="60" t="n"/>
      <c r="Q59" s="60" t="n"/>
      <c r="R59" s="60" t="n"/>
      <c r="S59" s="60" t="n"/>
      <c r="T59" s="60" t="n"/>
      <c r="U59" s="60" t="n"/>
      <c r="V59" s="60" t="n"/>
      <c r="W59" s="60" t="n"/>
      <c r="X59" s="62" t="n"/>
      <c r="Y59" s="63">
        <f>IF($A59="","",IF(OR($W59&lt;&gt;"Yes",$X59="",TODAY()-$X59&gt;90),"At Risk","Not At Risk"))</f>
        <v/>
      </c>
      <c r="Z59" s="61" t="n"/>
    </row>
    <row r="60" ht="15" customHeight="1" s="39">
      <c r="A60" s="60" t="n"/>
      <c r="B60" s="60" t="n"/>
      <c r="C60" s="60" t="n"/>
      <c r="D60" s="60" t="n"/>
      <c r="E60" s="60" t="n"/>
      <c r="F60" s="61" t="n"/>
      <c r="G60" s="60" t="n"/>
      <c r="H60" s="60" t="n"/>
      <c r="I60" s="60" t="n"/>
      <c r="J60" s="61" t="n"/>
      <c r="K60" s="60" t="n"/>
      <c r="L60" s="60" t="n"/>
      <c r="M60" s="60" t="n"/>
      <c r="N60" s="60" t="n"/>
      <c r="O60" s="61" t="n"/>
      <c r="P60" s="60" t="n"/>
      <c r="Q60" s="60" t="n"/>
      <c r="R60" s="60" t="n"/>
      <c r="S60" s="60" t="n"/>
      <c r="T60" s="60" t="n"/>
      <c r="U60" s="60" t="n"/>
      <c r="V60" s="60" t="n"/>
      <c r="W60" s="60" t="n"/>
      <c r="X60" s="62" t="n"/>
      <c r="Y60" s="63">
        <f>IF($A60="","",IF(OR($W60&lt;&gt;"Yes",$X60="",TODAY()-$X60&gt;90),"At Risk","Not At Risk"))</f>
        <v/>
      </c>
      <c r="Z60" s="61" t="n"/>
    </row>
    <row r="61" ht="15" customHeight="1" s="39">
      <c r="A61" s="60" t="n"/>
      <c r="B61" s="60" t="n"/>
      <c r="C61" s="60" t="n"/>
      <c r="D61" s="60" t="n"/>
      <c r="E61" s="60" t="n"/>
      <c r="F61" s="61" t="n"/>
      <c r="G61" s="60" t="n"/>
      <c r="H61" s="60" t="n"/>
      <c r="I61" s="60" t="n"/>
      <c r="J61" s="61" t="n"/>
      <c r="K61" s="60" t="n"/>
      <c r="L61" s="60" t="n"/>
      <c r="M61" s="60" t="n"/>
      <c r="N61" s="60" t="n"/>
      <c r="O61" s="61" t="n"/>
      <c r="P61" s="60" t="n"/>
      <c r="Q61" s="60" t="n"/>
      <c r="R61" s="60" t="n"/>
      <c r="S61" s="60" t="n"/>
      <c r="T61" s="60" t="n"/>
      <c r="U61" s="60" t="n"/>
      <c r="V61" s="60" t="n"/>
      <c r="W61" s="60" t="n"/>
      <c r="X61" s="62" t="n"/>
      <c r="Y61" s="63">
        <f>IF($A61="","",IF(OR($W61&lt;&gt;"Yes",$X61="",TODAY()-$X61&gt;90),"At Risk","Not At Risk"))</f>
        <v/>
      </c>
      <c r="Z61" s="61" t="n"/>
    </row>
    <row r="62" ht="15" customHeight="1" s="39">
      <c r="A62" s="60" t="n"/>
      <c r="B62" s="60" t="n"/>
      <c r="C62" s="60" t="n"/>
      <c r="D62" s="60" t="n"/>
      <c r="E62" s="60" t="n"/>
      <c r="F62" s="61" t="n"/>
      <c r="G62" s="60" t="n"/>
      <c r="H62" s="60" t="n"/>
      <c r="I62" s="60" t="n"/>
      <c r="J62" s="61" t="n"/>
      <c r="K62" s="60" t="n"/>
      <c r="L62" s="60" t="n"/>
      <c r="M62" s="60" t="n"/>
      <c r="N62" s="60" t="n"/>
      <c r="O62" s="61" t="n"/>
      <c r="P62" s="60" t="n"/>
      <c r="Q62" s="60" t="n"/>
      <c r="R62" s="60" t="n"/>
      <c r="S62" s="60" t="n"/>
      <c r="T62" s="60" t="n"/>
      <c r="U62" s="60" t="n"/>
      <c r="V62" s="60" t="n"/>
      <c r="W62" s="60" t="n"/>
      <c r="X62" s="62" t="n"/>
      <c r="Y62" s="63">
        <f>IF($A62="","",IF(OR($W62&lt;&gt;"Yes",$X62="",TODAY()-$X62&gt;90),"At Risk","Not At Risk"))</f>
        <v/>
      </c>
      <c r="Z62" s="61" t="n"/>
    </row>
    <row r="63" ht="15" customHeight="1" s="39">
      <c r="A63" s="60" t="n"/>
      <c r="B63" s="60" t="n"/>
      <c r="C63" s="60" t="n"/>
      <c r="D63" s="60" t="n"/>
      <c r="E63" s="60" t="n"/>
      <c r="F63" s="61" t="n"/>
      <c r="G63" s="60" t="n"/>
      <c r="H63" s="60" t="n"/>
      <c r="I63" s="60" t="n"/>
      <c r="J63" s="61" t="n"/>
      <c r="K63" s="60" t="n"/>
      <c r="L63" s="60" t="n"/>
      <c r="M63" s="60" t="n"/>
      <c r="N63" s="60" t="n"/>
      <c r="O63" s="61" t="n"/>
      <c r="P63" s="60" t="n"/>
      <c r="Q63" s="60" t="n"/>
      <c r="R63" s="60" t="n"/>
      <c r="S63" s="60" t="n"/>
      <c r="T63" s="60" t="n"/>
      <c r="U63" s="60" t="n"/>
      <c r="V63" s="60" t="n"/>
      <c r="W63" s="60" t="n"/>
      <c r="X63" s="62" t="n"/>
      <c r="Y63" s="63">
        <f>IF($A63="","",IF(OR($W63&lt;&gt;"Yes",$X63="",TODAY()-$X63&gt;90),"At Risk","Not At Risk"))</f>
        <v/>
      </c>
      <c r="Z63" s="61" t="n"/>
    </row>
    <row r="64" ht="15" customHeight="1" s="39">
      <c r="A64" s="60" t="n"/>
      <c r="B64" s="60" t="n"/>
      <c r="C64" s="60" t="n"/>
      <c r="D64" s="60" t="n"/>
      <c r="E64" s="60" t="n"/>
      <c r="F64" s="61" t="n"/>
      <c r="G64" s="60" t="n"/>
      <c r="H64" s="60" t="n"/>
      <c r="I64" s="60" t="n"/>
      <c r="J64" s="61" t="n"/>
      <c r="K64" s="60" t="n"/>
      <c r="L64" s="60" t="n"/>
      <c r="M64" s="60" t="n"/>
      <c r="N64" s="60" t="n"/>
      <c r="O64" s="61" t="n"/>
      <c r="P64" s="60" t="n"/>
      <c r="Q64" s="60" t="n"/>
      <c r="R64" s="60" t="n"/>
      <c r="S64" s="60" t="n"/>
      <c r="T64" s="60" t="n"/>
      <c r="U64" s="60" t="n"/>
      <c r="V64" s="60" t="n"/>
      <c r="W64" s="60" t="n"/>
      <c r="X64" s="62" t="n"/>
      <c r="Y64" s="63">
        <f>IF($A64="","",IF(OR($W64&lt;&gt;"Yes",$X64="",TODAY()-$X64&gt;90),"At Risk","Not At Risk"))</f>
        <v/>
      </c>
      <c r="Z64" s="61" t="n"/>
    </row>
    <row r="65" ht="15" customHeight="1" s="39">
      <c r="A65" s="60" t="n"/>
      <c r="B65" s="60" t="n"/>
      <c r="C65" s="60" t="n"/>
      <c r="D65" s="60" t="n"/>
      <c r="E65" s="60" t="n"/>
      <c r="F65" s="61" t="n"/>
      <c r="G65" s="60" t="n"/>
      <c r="H65" s="60" t="n"/>
      <c r="I65" s="60" t="n"/>
      <c r="J65" s="61" t="n"/>
      <c r="K65" s="60" t="n"/>
      <c r="L65" s="60" t="n"/>
      <c r="M65" s="60" t="n"/>
      <c r="N65" s="60" t="n"/>
      <c r="O65" s="61" t="n"/>
      <c r="P65" s="60" t="n"/>
      <c r="Q65" s="60" t="n"/>
      <c r="R65" s="60" t="n"/>
      <c r="S65" s="60" t="n"/>
      <c r="T65" s="60" t="n"/>
      <c r="U65" s="60" t="n"/>
      <c r="V65" s="60" t="n"/>
      <c r="W65" s="60" t="n"/>
      <c r="X65" s="62" t="n"/>
      <c r="Y65" s="63">
        <f>IF($A65="","",IF(OR($W65&lt;&gt;"Yes",$X65="",TODAY()-$X65&gt;90),"At Risk","Not At Risk"))</f>
        <v/>
      </c>
      <c r="Z65" s="61" t="n"/>
    </row>
    <row r="66" ht="15" customHeight="1" s="39">
      <c r="A66" s="60" t="n"/>
      <c r="B66" s="60" t="n"/>
      <c r="C66" s="60" t="n"/>
      <c r="D66" s="60" t="n"/>
      <c r="E66" s="60" t="n"/>
      <c r="F66" s="61" t="n"/>
      <c r="G66" s="60" t="n"/>
      <c r="H66" s="60" t="n"/>
      <c r="I66" s="60" t="n"/>
      <c r="J66" s="61" t="n"/>
      <c r="K66" s="60" t="n"/>
      <c r="L66" s="60" t="n"/>
      <c r="M66" s="60" t="n"/>
      <c r="N66" s="60" t="n"/>
      <c r="O66" s="61" t="n"/>
      <c r="P66" s="60" t="n"/>
      <c r="Q66" s="60" t="n"/>
      <c r="R66" s="60" t="n"/>
      <c r="S66" s="60" t="n"/>
      <c r="T66" s="60" t="n"/>
      <c r="U66" s="60" t="n"/>
      <c r="V66" s="60" t="n"/>
      <c r="W66" s="60" t="n"/>
      <c r="X66" s="62" t="n"/>
      <c r="Y66" s="63">
        <f>IF($A66="","",IF(OR($W66&lt;&gt;"Yes",$X66="",TODAY()-$X66&gt;90),"At Risk","Not At Risk"))</f>
        <v/>
      </c>
      <c r="Z66" s="61" t="n"/>
    </row>
    <row r="67" ht="15" customHeight="1" s="39">
      <c r="A67" s="60" t="n"/>
      <c r="B67" s="60" t="n"/>
      <c r="C67" s="60" t="n"/>
      <c r="D67" s="60" t="n"/>
      <c r="E67" s="60" t="n"/>
      <c r="F67" s="61" t="n"/>
      <c r="G67" s="60" t="n"/>
      <c r="H67" s="60" t="n"/>
      <c r="I67" s="60" t="n"/>
      <c r="J67" s="61" t="n"/>
      <c r="K67" s="60" t="n"/>
      <c r="L67" s="60" t="n"/>
      <c r="M67" s="60" t="n"/>
      <c r="N67" s="60" t="n"/>
      <c r="O67" s="61" t="n"/>
      <c r="P67" s="60" t="n"/>
      <c r="Q67" s="60" t="n"/>
      <c r="R67" s="60" t="n"/>
      <c r="S67" s="60" t="n"/>
      <c r="T67" s="60" t="n"/>
      <c r="U67" s="60" t="n"/>
      <c r="V67" s="60" t="n"/>
      <c r="W67" s="60" t="n"/>
      <c r="X67" s="62" t="n"/>
      <c r="Y67" s="63">
        <f>IF($A67="","",IF(OR($W67&lt;&gt;"Yes",$X67="",TODAY()-$X67&gt;90),"At Risk","Not At Risk"))</f>
        <v/>
      </c>
      <c r="Z67" s="61" t="n"/>
    </row>
    <row r="68" ht="15" customHeight="1" s="39">
      <c r="A68" s="60" t="n"/>
      <c r="B68" s="60" t="n"/>
      <c r="C68" s="60" t="n"/>
      <c r="D68" s="60" t="n"/>
      <c r="E68" s="60" t="n"/>
      <c r="F68" s="61" t="n"/>
      <c r="G68" s="60" t="n"/>
      <c r="H68" s="60" t="n"/>
      <c r="I68" s="60" t="n"/>
      <c r="J68" s="61" t="n"/>
      <c r="K68" s="60" t="n"/>
      <c r="L68" s="60" t="n"/>
      <c r="M68" s="60" t="n"/>
      <c r="N68" s="60" t="n"/>
      <c r="O68" s="61" t="n"/>
      <c r="P68" s="60" t="n"/>
      <c r="Q68" s="60" t="n"/>
      <c r="R68" s="60" t="n"/>
      <c r="S68" s="60" t="n"/>
      <c r="T68" s="60" t="n"/>
      <c r="U68" s="60" t="n"/>
      <c r="V68" s="60" t="n"/>
      <c r="W68" s="60" t="n"/>
      <c r="X68" s="62" t="n"/>
      <c r="Y68" s="63">
        <f>IF($A68="","",IF(OR($W68&lt;&gt;"Yes",$X68="",TODAY()-$X68&gt;90),"At Risk","Not At Risk"))</f>
        <v/>
      </c>
      <c r="Z68" s="61" t="n"/>
    </row>
    <row r="69" ht="15" customHeight="1" s="39">
      <c r="A69" s="60" t="n"/>
      <c r="B69" s="60" t="n"/>
      <c r="C69" s="60" t="n"/>
      <c r="D69" s="60" t="n"/>
      <c r="E69" s="60" t="n"/>
      <c r="F69" s="61" t="n"/>
      <c r="G69" s="60" t="n"/>
      <c r="H69" s="60" t="n"/>
      <c r="I69" s="60" t="n"/>
      <c r="J69" s="61" t="n"/>
      <c r="K69" s="60" t="n"/>
      <c r="L69" s="60" t="n"/>
      <c r="M69" s="60" t="n"/>
      <c r="N69" s="60" t="n"/>
      <c r="O69" s="61" t="n"/>
      <c r="P69" s="60" t="n"/>
      <c r="Q69" s="60" t="n"/>
      <c r="R69" s="60" t="n"/>
      <c r="S69" s="60" t="n"/>
      <c r="T69" s="60" t="n"/>
      <c r="U69" s="60" t="n"/>
      <c r="V69" s="60" t="n"/>
      <c r="W69" s="60" t="n"/>
      <c r="X69" s="62" t="n"/>
      <c r="Y69" s="63">
        <f>IF($A69="","",IF(OR($W69&lt;&gt;"Yes",$X69="",TODAY()-$X69&gt;90),"At Risk","Not At Risk"))</f>
        <v/>
      </c>
      <c r="Z69" s="61" t="n"/>
    </row>
    <row r="70" ht="15" customHeight="1" s="39">
      <c r="A70" s="60" t="n"/>
      <c r="B70" s="60" t="n"/>
      <c r="C70" s="60" t="n"/>
      <c r="D70" s="60" t="n"/>
      <c r="E70" s="60" t="n"/>
      <c r="F70" s="61" t="n"/>
      <c r="G70" s="60" t="n"/>
      <c r="H70" s="60" t="n"/>
      <c r="I70" s="60" t="n"/>
      <c r="J70" s="61" t="n"/>
      <c r="K70" s="60" t="n"/>
      <c r="L70" s="60" t="n"/>
      <c r="M70" s="60" t="n"/>
      <c r="N70" s="60" t="n"/>
      <c r="O70" s="61" t="n"/>
      <c r="P70" s="60" t="n"/>
      <c r="Q70" s="60" t="n"/>
      <c r="R70" s="60" t="n"/>
      <c r="S70" s="60" t="n"/>
      <c r="T70" s="60" t="n"/>
      <c r="U70" s="60" t="n"/>
      <c r="V70" s="60" t="n"/>
      <c r="W70" s="60" t="n"/>
      <c r="X70" s="62" t="n"/>
      <c r="Y70" s="63">
        <f>IF($A70="","",IF(OR($W70&lt;&gt;"Yes",$X70="",TODAY()-$X70&gt;90),"At Risk","Not At Risk"))</f>
        <v/>
      </c>
      <c r="Z70" s="61" t="n"/>
    </row>
    <row r="71" ht="15" customHeight="1" s="39">
      <c r="A71" s="60" t="n"/>
      <c r="B71" s="60" t="n"/>
      <c r="C71" s="60" t="n"/>
      <c r="D71" s="60" t="n"/>
      <c r="E71" s="60" t="n"/>
      <c r="F71" s="61" t="n"/>
      <c r="G71" s="60" t="n"/>
      <c r="H71" s="60" t="n"/>
      <c r="I71" s="60" t="n"/>
      <c r="J71" s="61" t="n"/>
      <c r="K71" s="60" t="n"/>
      <c r="L71" s="60" t="n"/>
      <c r="M71" s="60" t="n"/>
      <c r="N71" s="60" t="n"/>
      <c r="O71" s="61" t="n"/>
      <c r="P71" s="60" t="n"/>
      <c r="Q71" s="60" t="n"/>
      <c r="R71" s="60" t="n"/>
      <c r="S71" s="60" t="n"/>
      <c r="T71" s="60" t="n"/>
      <c r="U71" s="60" t="n"/>
      <c r="V71" s="60" t="n"/>
      <c r="W71" s="60" t="n"/>
      <c r="X71" s="62" t="n"/>
      <c r="Y71" s="63">
        <f>IF($A71="","",IF(OR($W71&lt;&gt;"Yes",$X71="",TODAY()-$X71&gt;90),"At Risk","Not At Risk"))</f>
        <v/>
      </c>
      <c r="Z71" s="61" t="n"/>
    </row>
    <row r="72" ht="15" customHeight="1" s="39">
      <c r="A72" s="60" t="n"/>
      <c r="B72" s="60" t="n"/>
      <c r="C72" s="60" t="n"/>
      <c r="D72" s="60" t="n"/>
      <c r="E72" s="60" t="n"/>
      <c r="F72" s="61" t="n"/>
      <c r="G72" s="60" t="n"/>
      <c r="H72" s="60" t="n"/>
      <c r="I72" s="60" t="n"/>
      <c r="J72" s="61" t="n"/>
      <c r="K72" s="60" t="n"/>
      <c r="L72" s="60" t="n"/>
      <c r="M72" s="60" t="n"/>
      <c r="N72" s="60" t="n"/>
      <c r="O72" s="61" t="n"/>
      <c r="P72" s="60" t="n"/>
      <c r="Q72" s="60" t="n"/>
      <c r="R72" s="60" t="n"/>
      <c r="S72" s="60" t="n"/>
      <c r="T72" s="60" t="n"/>
      <c r="U72" s="60" t="n"/>
      <c r="V72" s="60" t="n"/>
      <c r="W72" s="60" t="n"/>
      <c r="X72" s="62" t="n"/>
      <c r="Y72" s="63">
        <f>IF($A72="","",IF(OR($W72&lt;&gt;"Yes",$X72="",TODAY()-$X72&gt;90),"At Risk","Not At Risk"))</f>
        <v/>
      </c>
      <c r="Z72" s="61" t="n"/>
    </row>
    <row r="73" ht="15" customHeight="1" s="39">
      <c r="A73" s="60" t="n"/>
      <c r="B73" s="60" t="n"/>
      <c r="C73" s="60" t="n"/>
      <c r="D73" s="60" t="n"/>
      <c r="E73" s="60" t="n"/>
      <c r="F73" s="61" t="n"/>
      <c r="G73" s="60" t="n"/>
      <c r="H73" s="60" t="n"/>
      <c r="I73" s="60" t="n"/>
      <c r="J73" s="61" t="n"/>
      <c r="K73" s="60" t="n"/>
      <c r="L73" s="60" t="n"/>
      <c r="M73" s="60" t="n"/>
      <c r="N73" s="60" t="n"/>
      <c r="O73" s="61" t="n"/>
      <c r="P73" s="60" t="n"/>
      <c r="Q73" s="60" t="n"/>
      <c r="R73" s="60" t="n"/>
      <c r="S73" s="60" t="n"/>
      <c r="T73" s="60" t="n"/>
      <c r="U73" s="60" t="n"/>
      <c r="V73" s="60" t="n"/>
      <c r="W73" s="60" t="n"/>
      <c r="X73" s="62" t="n"/>
      <c r="Y73" s="63">
        <f>IF($A73="","",IF(OR($W73&lt;&gt;"Yes",$X73="",TODAY()-$X73&gt;90),"At Risk","Not At Risk"))</f>
        <v/>
      </c>
      <c r="Z73" s="61" t="n"/>
    </row>
    <row r="74" ht="15" customHeight="1" s="39">
      <c r="A74" s="60" t="n"/>
      <c r="B74" s="60" t="n"/>
      <c r="C74" s="60" t="n"/>
      <c r="D74" s="60" t="n"/>
      <c r="E74" s="60" t="n"/>
      <c r="F74" s="61" t="n"/>
      <c r="G74" s="60" t="n"/>
      <c r="H74" s="60" t="n"/>
      <c r="I74" s="60" t="n"/>
      <c r="J74" s="61" t="n"/>
      <c r="K74" s="60" t="n"/>
      <c r="L74" s="60" t="n"/>
      <c r="M74" s="60" t="n"/>
      <c r="N74" s="60" t="n"/>
      <c r="O74" s="61" t="n"/>
      <c r="P74" s="60" t="n"/>
      <c r="Q74" s="60" t="n"/>
      <c r="R74" s="60" t="n"/>
      <c r="S74" s="60" t="n"/>
      <c r="T74" s="60" t="n"/>
      <c r="U74" s="60" t="n"/>
      <c r="V74" s="60" t="n"/>
      <c r="W74" s="60" t="n"/>
      <c r="X74" s="62" t="n"/>
      <c r="Y74" s="63">
        <f>IF($A74="","",IF(OR($W74&lt;&gt;"Yes",$X74="",TODAY()-$X74&gt;90),"At Risk","Not At Risk"))</f>
        <v/>
      </c>
      <c r="Z74" s="61" t="n"/>
    </row>
    <row r="75" ht="15" customHeight="1" s="39">
      <c r="A75" s="60" t="n"/>
      <c r="B75" s="60" t="n"/>
      <c r="C75" s="60" t="n"/>
      <c r="D75" s="60" t="n"/>
      <c r="E75" s="60" t="n"/>
      <c r="F75" s="61" t="n"/>
      <c r="G75" s="60" t="n"/>
      <c r="H75" s="60" t="n"/>
      <c r="I75" s="60" t="n"/>
      <c r="J75" s="61" t="n"/>
      <c r="K75" s="60" t="n"/>
      <c r="L75" s="60" t="n"/>
      <c r="M75" s="60" t="n"/>
      <c r="N75" s="60" t="n"/>
      <c r="O75" s="61" t="n"/>
      <c r="P75" s="60" t="n"/>
      <c r="Q75" s="60" t="n"/>
      <c r="R75" s="60" t="n"/>
      <c r="S75" s="60" t="n"/>
      <c r="T75" s="60" t="n"/>
      <c r="U75" s="60" t="n"/>
      <c r="V75" s="60" t="n"/>
      <c r="W75" s="60" t="n"/>
      <c r="X75" s="62" t="n"/>
      <c r="Y75" s="63">
        <f>IF($A75="","",IF(OR($W75&lt;&gt;"Yes",$X75="",TODAY()-$X75&gt;90),"At Risk","Not At Risk"))</f>
        <v/>
      </c>
      <c r="Z75" s="61" t="n"/>
    </row>
    <row r="76" ht="15" customHeight="1" s="39">
      <c r="A76" s="60" t="n"/>
      <c r="B76" s="60" t="n"/>
      <c r="C76" s="60" t="n"/>
      <c r="D76" s="60" t="n"/>
      <c r="E76" s="60" t="n"/>
      <c r="F76" s="61" t="n"/>
      <c r="G76" s="60" t="n"/>
      <c r="H76" s="60" t="n"/>
      <c r="I76" s="60" t="n"/>
      <c r="J76" s="61" t="n"/>
      <c r="K76" s="60" t="n"/>
      <c r="L76" s="60" t="n"/>
      <c r="M76" s="60" t="n"/>
      <c r="N76" s="60" t="n"/>
      <c r="O76" s="61" t="n"/>
      <c r="P76" s="60" t="n"/>
      <c r="Q76" s="60" t="n"/>
      <c r="R76" s="60" t="n"/>
      <c r="S76" s="60" t="n"/>
      <c r="T76" s="60" t="n"/>
      <c r="U76" s="60" t="n"/>
      <c r="V76" s="60" t="n"/>
      <c r="W76" s="60" t="n"/>
      <c r="X76" s="62" t="n"/>
      <c r="Y76" s="63">
        <f>IF($A76="","",IF(OR($W76&lt;&gt;"Yes",$X76="",TODAY()-$X76&gt;90),"At Risk","Not At Risk"))</f>
        <v/>
      </c>
      <c r="Z76" s="61" t="n"/>
    </row>
    <row r="77" ht="15" customHeight="1" s="39">
      <c r="A77" s="60" t="n"/>
      <c r="B77" s="60" t="n"/>
      <c r="C77" s="60" t="n"/>
      <c r="D77" s="60" t="n"/>
      <c r="E77" s="60" t="n"/>
      <c r="F77" s="61" t="n"/>
      <c r="G77" s="60" t="n"/>
      <c r="H77" s="60" t="n"/>
      <c r="I77" s="60" t="n"/>
      <c r="J77" s="61" t="n"/>
      <c r="K77" s="60" t="n"/>
      <c r="L77" s="60" t="n"/>
      <c r="M77" s="60" t="n"/>
      <c r="N77" s="60" t="n"/>
      <c r="O77" s="61" t="n"/>
      <c r="P77" s="60" t="n"/>
      <c r="Q77" s="60" t="n"/>
      <c r="R77" s="60" t="n"/>
      <c r="S77" s="60" t="n"/>
      <c r="T77" s="60" t="n"/>
      <c r="U77" s="60" t="n"/>
      <c r="V77" s="60" t="n"/>
      <c r="W77" s="60" t="n"/>
      <c r="X77" s="62" t="n"/>
      <c r="Y77" s="63">
        <f>IF($A77="","",IF(OR($W77&lt;&gt;"Yes",$X77="",TODAY()-$X77&gt;90),"At Risk","Not At Risk"))</f>
        <v/>
      </c>
      <c r="Z77" s="61" t="n"/>
    </row>
    <row r="78" ht="15" customHeight="1" s="39">
      <c r="A78" s="60" t="n"/>
      <c r="B78" s="60" t="n"/>
      <c r="C78" s="60" t="n"/>
      <c r="D78" s="60" t="n"/>
      <c r="E78" s="60" t="n"/>
      <c r="F78" s="61" t="n"/>
      <c r="G78" s="60" t="n"/>
      <c r="H78" s="60" t="n"/>
      <c r="I78" s="60" t="n"/>
      <c r="J78" s="61" t="n"/>
      <c r="K78" s="60" t="n"/>
      <c r="L78" s="60" t="n"/>
      <c r="M78" s="60" t="n"/>
      <c r="N78" s="60" t="n"/>
      <c r="O78" s="61" t="n"/>
      <c r="P78" s="60" t="n"/>
      <c r="Q78" s="60" t="n"/>
      <c r="R78" s="60" t="n"/>
      <c r="S78" s="60" t="n"/>
      <c r="T78" s="60" t="n"/>
      <c r="U78" s="60" t="n"/>
      <c r="V78" s="60" t="n"/>
      <c r="W78" s="60" t="n"/>
      <c r="X78" s="62" t="n"/>
      <c r="Y78" s="63">
        <f>IF($A78="","",IF(OR($W78&lt;&gt;"Yes",$X78="",TODAY()-$X78&gt;90),"At Risk","Not At Risk"))</f>
        <v/>
      </c>
      <c r="Z78" s="61" t="n"/>
    </row>
    <row r="79" ht="15" customHeight="1" s="39">
      <c r="A79" s="60" t="n"/>
      <c r="B79" s="60" t="n"/>
      <c r="C79" s="60" t="n"/>
      <c r="D79" s="60" t="n"/>
      <c r="E79" s="60" t="n"/>
      <c r="F79" s="61" t="n"/>
      <c r="G79" s="60" t="n"/>
      <c r="H79" s="60" t="n"/>
      <c r="I79" s="60" t="n"/>
      <c r="J79" s="61" t="n"/>
      <c r="K79" s="60" t="n"/>
      <c r="L79" s="60" t="n"/>
      <c r="M79" s="60" t="n"/>
      <c r="N79" s="60" t="n"/>
      <c r="O79" s="61" t="n"/>
      <c r="P79" s="60" t="n"/>
      <c r="Q79" s="60" t="n"/>
      <c r="R79" s="60" t="n"/>
      <c r="S79" s="60" t="n"/>
      <c r="T79" s="60" t="n"/>
      <c r="U79" s="60" t="n"/>
      <c r="V79" s="60" t="n"/>
      <c r="W79" s="60" t="n"/>
      <c r="X79" s="62" t="n"/>
      <c r="Y79" s="63">
        <f>IF($A79="","",IF(OR($W79&lt;&gt;"Yes",$X79="",TODAY()-$X79&gt;90),"At Risk","Not At Risk"))</f>
        <v/>
      </c>
      <c r="Z79" s="61" t="n"/>
    </row>
    <row r="80" ht="15" customHeight="1" s="39">
      <c r="A80" s="60" t="n"/>
      <c r="B80" s="60" t="n"/>
      <c r="C80" s="60" t="n"/>
      <c r="D80" s="60" t="n"/>
      <c r="E80" s="60" t="n"/>
      <c r="F80" s="61" t="n"/>
      <c r="G80" s="60" t="n"/>
      <c r="H80" s="60" t="n"/>
      <c r="I80" s="60" t="n"/>
      <c r="J80" s="61" t="n"/>
      <c r="K80" s="60" t="n"/>
      <c r="L80" s="60" t="n"/>
      <c r="M80" s="60" t="n"/>
      <c r="N80" s="60" t="n"/>
      <c r="O80" s="61" t="n"/>
      <c r="P80" s="60" t="n"/>
      <c r="Q80" s="60" t="n"/>
      <c r="R80" s="60" t="n"/>
      <c r="S80" s="60" t="n"/>
      <c r="T80" s="60" t="n"/>
      <c r="U80" s="60" t="n"/>
      <c r="V80" s="60" t="n"/>
      <c r="W80" s="60" t="n"/>
      <c r="X80" s="62" t="n"/>
      <c r="Y80" s="63">
        <f>IF($A80="","",IF(OR($W80&lt;&gt;"Yes",$X80="",TODAY()-$X80&gt;90),"At Risk","Not At Risk"))</f>
        <v/>
      </c>
      <c r="Z80" s="61" t="n"/>
    </row>
    <row r="81" ht="15" customHeight="1" s="39">
      <c r="A81" s="60" t="n"/>
      <c r="B81" s="60" t="n"/>
      <c r="C81" s="60" t="n"/>
      <c r="D81" s="60" t="n"/>
      <c r="E81" s="60" t="n"/>
      <c r="F81" s="61" t="n"/>
      <c r="G81" s="60" t="n"/>
      <c r="H81" s="60" t="n"/>
      <c r="I81" s="60" t="n"/>
      <c r="J81" s="61" t="n"/>
      <c r="K81" s="60" t="n"/>
      <c r="L81" s="60" t="n"/>
      <c r="M81" s="60" t="n"/>
      <c r="N81" s="60" t="n"/>
      <c r="O81" s="61" t="n"/>
      <c r="P81" s="60" t="n"/>
      <c r="Q81" s="60" t="n"/>
      <c r="R81" s="60" t="n"/>
      <c r="S81" s="60" t="n"/>
      <c r="T81" s="60" t="n"/>
      <c r="U81" s="60" t="n"/>
      <c r="V81" s="60" t="n"/>
      <c r="W81" s="60" t="n"/>
      <c r="X81" s="62" t="n"/>
      <c r="Y81" s="63">
        <f>IF($A81="","",IF(OR($W81&lt;&gt;"Yes",$X81="",TODAY()-$X81&gt;90),"At Risk","Not At Risk"))</f>
        <v/>
      </c>
      <c r="Z81" s="61" t="n"/>
    </row>
    <row r="82" ht="15" customHeight="1" s="39">
      <c r="A82" s="60" t="n"/>
      <c r="B82" s="60" t="n"/>
      <c r="C82" s="60" t="n"/>
      <c r="D82" s="60" t="n"/>
      <c r="E82" s="60" t="n"/>
      <c r="F82" s="61" t="n"/>
      <c r="G82" s="60" t="n"/>
      <c r="H82" s="60" t="n"/>
      <c r="I82" s="60" t="n"/>
      <c r="J82" s="61" t="n"/>
      <c r="K82" s="60" t="n"/>
      <c r="L82" s="60" t="n"/>
      <c r="M82" s="60" t="n"/>
      <c r="N82" s="60" t="n"/>
      <c r="O82" s="61" t="n"/>
      <c r="P82" s="60" t="n"/>
      <c r="Q82" s="60" t="n"/>
      <c r="R82" s="60" t="n"/>
      <c r="S82" s="60" t="n"/>
      <c r="T82" s="60" t="n"/>
      <c r="U82" s="60" t="n"/>
      <c r="V82" s="60" t="n"/>
      <c r="W82" s="60" t="n"/>
      <c r="X82" s="62" t="n"/>
      <c r="Y82" s="63">
        <f>IF($A82="","",IF(OR($W82&lt;&gt;"Yes",$X82="",TODAY()-$X82&gt;90),"At Risk","Not At Risk"))</f>
        <v/>
      </c>
      <c r="Z82" s="61" t="n"/>
    </row>
    <row r="83" ht="15" customHeight="1" s="39">
      <c r="A83" s="60" t="n"/>
      <c r="B83" s="60" t="n"/>
      <c r="C83" s="60" t="n"/>
      <c r="D83" s="60" t="n"/>
      <c r="E83" s="60" t="n"/>
      <c r="F83" s="61" t="n"/>
      <c r="G83" s="60" t="n"/>
      <c r="H83" s="60" t="n"/>
      <c r="I83" s="60" t="n"/>
      <c r="J83" s="61" t="n"/>
      <c r="K83" s="60" t="n"/>
      <c r="L83" s="60" t="n"/>
      <c r="M83" s="60" t="n"/>
      <c r="N83" s="60" t="n"/>
      <c r="O83" s="61" t="n"/>
      <c r="P83" s="60" t="n"/>
      <c r="Q83" s="60" t="n"/>
      <c r="R83" s="60" t="n"/>
      <c r="S83" s="60" t="n"/>
      <c r="T83" s="60" t="n"/>
      <c r="U83" s="60" t="n"/>
      <c r="V83" s="60" t="n"/>
      <c r="W83" s="60" t="n"/>
      <c r="X83" s="62" t="n"/>
      <c r="Y83" s="63">
        <f>IF($A83="","",IF(OR($W83&lt;&gt;"Yes",$X83="",TODAY()-$X83&gt;90),"At Risk","Not At Risk"))</f>
        <v/>
      </c>
      <c r="Z83" s="61" t="n"/>
    </row>
    <row r="84" ht="15" customHeight="1" s="39">
      <c r="A84" s="60" t="n"/>
      <c r="B84" s="60" t="n"/>
      <c r="C84" s="60" t="n"/>
      <c r="D84" s="60" t="n"/>
      <c r="E84" s="60" t="n"/>
      <c r="F84" s="61" t="n"/>
      <c r="G84" s="60" t="n"/>
      <c r="H84" s="60" t="n"/>
      <c r="I84" s="60" t="n"/>
      <c r="J84" s="61" t="n"/>
      <c r="K84" s="60" t="n"/>
      <c r="L84" s="60" t="n"/>
      <c r="M84" s="60" t="n"/>
      <c r="N84" s="60" t="n"/>
      <c r="O84" s="61" t="n"/>
      <c r="P84" s="60" t="n"/>
      <c r="Q84" s="60" t="n"/>
      <c r="R84" s="60" t="n"/>
      <c r="S84" s="60" t="n"/>
      <c r="T84" s="60" t="n"/>
      <c r="U84" s="60" t="n"/>
      <c r="V84" s="60" t="n"/>
      <c r="W84" s="60" t="n"/>
      <c r="X84" s="62" t="n"/>
      <c r="Y84" s="63">
        <f>IF($A84="","",IF(OR($W84&lt;&gt;"Yes",$X84="",TODAY()-$X84&gt;90),"At Risk","Not At Risk"))</f>
        <v/>
      </c>
      <c r="Z84" s="61" t="n"/>
    </row>
    <row r="85" ht="15" customHeight="1" s="39">
      <c r="A85" s="60" t="n"/>
      <c r="B85" s="60" t="n"/>
      <c r="C85" s="60" t="n"/>
      <c r="D85" s="60" t="n"/>
      <c r="E85" s="60" t="n"/>
      <c r="F85" s="61" t="n"/>
      <c r="G85" s="60" t="n"/>
      <c r="H85" s="60" t="n"/>
      <c r="I85" s="60" t="n"/>
      <c r="J85" s="61" t="n"/>
      <c r="K85" s="60" t="n"/>
      <c r="L85" s="60" t="n"/>
      <c r="M85" s="60" t="n"/>
      <c r="N85" s="60" t="n"/>
      <c r="O85" s="61" t="n"/>
      <c r="P85" s="60" t="n"/>
      <c r="Q85" s="60" t="n"/>
      <c r="R85" s="60" t="n"/>
      <c r="S85" s="60" t="n"/>
      <c r="T85" s="60" t="n"/>
      <c r="U85" s="60" t="n"/>
      <c r="V85" s="60" t="n"/>
      <c r="W85" s="60" t="n"/>
      <c r="X85" s="62" t="n"/>
      <c r="Y85" s="63">
        <f>IF($A85="","",IF(OR($W85&lt;&gt;"Yes",$X85="",TODAY()-$X85&gt;90),"At Risk","Not At Risk"))</f>
        <v/>
      </c>
      <c r="Z85" s="61" t="n"/>
    </row>
    <row r="86" ht="15" customHeight="1" s="39">
      <c r="A86" s="60" t="n"/>
      <c r="B86" s="60" t="n"/>
      <c r="C86" s="60" t="n"/>
      <c r="D86" s="60" t="n"/>
      <c r="E86" s="60" t="n"/>
      <c r="F86" s="61" t="n"/>
      <c r="G86" s="60" t="n"/>
      <c r="H86" s="60" t="n"/>
      <c r="I86" s="60" t="n"/>
      <c r="J86" s="61" t="n"/>
      <c r="K86" s="60" t="n"/>
      <c r="L86" s="60" t="n"/>
      <c r="M86" s="60" t="n"/>
      <c r="N86" s="60" t="n"/>
      <c r="O86" s="61" t="n"/>
      <c r="P86" s="60" t="n"/>
      <c r="Q86" s="60" t="n"/>
      <c r="R86" s="60" t="n"/>
      <c r="S86" s="60" t="n"/>
      <c r="T86" s="60" t="n"/>
      <c r="U86" s="60" t="n"/>
      <c r="V86" s="60" t="n"/>
      <c r="W86" s="60" t="n"/>
      <c r="X86" s="62" t="n"/>
      <c r="Y86" s="63">
        <f>IF($A86="","",IF(OR($W86&lt;&gt;"Yes",$X86="",TODAY()-$X86&gt;90),"At Risk","Not At Risk"))</f>
        <v/>
      </c>
      <c r="Z86" s="61" t="n"/>
    </row>
    <row r="87" ht="15" customHeight="1" s="39">
      <c r="A87" s="60" t="n"/>
      <c r="B87" s="60" t="n"/>
      <c r="C87" s="60" t="n"/>
      <c r="D87" s="60" t="n"/>
      <c r="E87" s="60" t="n"/>
      <c r="F87" s="61" t="n"/>
      <c r="G87" s="60" t="n"/>
      <c r="H87" s="60" t="n"/>
      <c r="I87" s="60" t="n"/>
      <c r="J87" s="61" t="n"/>
      <c r="K87" s="60" t="n"/>
      <c r="L87" s="60" t="n"/>
      <c r="M87" s="60" t="n"/>
      <c r="N87" s="60" t="n"/>
      <c r="O87" s="61" t="n"/>
      <c r="P87" s="60" t="n"/>
      <c r="Q87" s="60" t="n"/>
      <c r="R87" s="60" t="n"/>
      <c r="S87" s="60" t="n"/>
      <c r="T87" s="60" t="n"/>
      <c r="U87" s="60" t="n"/>
      <c r="V87" s="60" t="n"/>
      <c r="W87" s="60" t="n"/>
      <c r="X87" s="62" t="n"/>
      <c r="Y87" s="63">
        <f>IF($A87="","",IF(OR($W87&lt;&gt;"Yes",$X87="",TODAY()-$X87&gt;90),"At Risk","Not At Risk"))</f>
        <v/>
      </c>
      <c r="Z87" s="61" t="n"/>
    </row>
    <row r="88" ht="15" customHeight="1" s="39">
      <c r="A88" s="60" t="n"/>
      <c r="B88" s="60" t="n"/>
      <c r="C88" s="60" t="n"/>
      <c r="D88" s="60" t="n"/>
      <c r="E88" s="60" t="n"/>
      <c r="F88" s="61" t="n"/>
      <c r="G88" s="60" t="n"/>
      <c r="H88" s="60" t="n"/>
      <c r="I88" s="60" t="n"/>
      <c r="J88" s="61" t="n"/>
      <c r="K88" s="60" t="n"/>
      <c r="L88" s="60" t="n"/>
      <c r="M88" s="60" t="n"/>
      <c r="N88" s="60" t="n"/>
      <c r="O88" s="61" t="n"/>
      <c r="P88" s="60" t="n"/>
      <c r="Q88" s="60" t="n"/>
      <c r="R88" s="60" t="n"/>
      <c r="S88" s="60" t="n"/>
      <c r="T88" s="60" t="n"/>
      <c r="U88" s="60" t="n"/>
      <c r="V88" s="60" t="n"/>
      <c r="W88" s="60" t="n"/>
      <c r="X88" s="62" t="n"/>
      <c r="Y88" s="63">
        <f>IF($A88="","",IF(OR($W88&lt;&gt;"Yes",$X88="",TODAY()-$X88&gt;90),"At Risk","Not At Risk"))</f>
        <v/>
      </c>
      <c r="Z88" s="61" t="n"/>
    </row>
    <row r="89" ht="15" customHeight="1" s="39">
      <c r="A89" s="60" t="n"/>
      <c r="B89" s="60" t="n"/>
      <c r="C89" s="60" t="n"/>
      <c r="D89" s="60" t="n"/>
      <c r="E89" s="60" t="n"/>
      <c r="F89" s="61" t="n"/>
      <c r="G89" s="60" t="n"/>
      <c r="H89" s="60" t="n"/>
      <c r="I89" s="60" t="n"/>
      <c r="J89" s="61" t="n"/>
      <c r="K89" s="60" t="n"/>
      <c r="L89" s="60" t="n"/>
      <c r="M89" s="60" t="n"/>
      <c r="N89" s="60" t="n"/>
      <c r="O89" s="61" t="n"/>
      <c r="P89" s="60" t="n"/>
      <c r="Q89" s="60" t="n"/>
      <c r="R89" s="60" t="n"/>
      <c r="S89" s="60" t="n"/>
      <c r="T89" s="60" t="n"/>
      <c r="U89" s="60" t="n"/>
      <c r="V89" s="60" t="n"/>
      <c r="W89" s="60" t="n"/>
      <c r="X89" s="62" t="n"/>
      <c r="Y89" s="63">
        <f>IF($A89="","",IF(OR($W89&lt;&gt;"Yes",$X89="",TODAY()-$X89&gt;90),"At Risk","Not At Risk"))</f>
        <v/>
      </c>
      <c r="Z89" s="61" t="n"/>
    </row>
    <row r="90" ht="15" customHeight="1" s="39">
      <c r="A90" s="60" t="n"/>
      <c r="B90" s="60" t="n"/>
      <c r="C90" s="60" t="n"/>
      <c r="D90" s="60" t="n"/>
      <c r="E90" s="60" t="n"/>
      <c r="F90" s="61" t="n"/>
      <c r="G90" s="60" t="n"/>
      <c r="H90" s="60" t="n"/>
      <c r="I90" s="60" t="n"/>
      <c r="J90" s="61" t="n"/>
      <c r="K90" s="60" t="n"/>
      <c r="L90" s="60" t="n"/>
      <c r="M90" s="60" t="n"/>
      <c r="N90" s="60" t="n"/>
      <c r="O90" s="61" t="n"/>
      <c r="P90" s="60" t="n"/>
      <c r="Q90" s="60" t="n"/>
      <c r="R90" s="60" t="n"/>
      <c r="S90" s="60" t="n"/>
      <c r="T90" s="60" t="n"/>
      <c r="U90" s="60" t="n"/>
      <c r="V90" s="60" t="n"/>
      <c r="W90" s="60" t="n"/>
      <c r="X90" s="62" t="n"/>
      <c r="Y90" s="63">
        <f>IF($A90="","",IF(OR($W90&lt;&gt;"Yes",$X90="",TODAY()-$X90&gt;90),"At Risk","Not At Risk"))</f>
        <v/>
      </c>
      <c r="Z90" s="61" t="n"/>
    </row>
    <row r="91" ht="15" customHeight="1" s="39">
      <c r="A91" s="60" t="n"/>
      <c r="B91" s="60" t="n"/>
      <c r="C91" s="60" t="n"/>
      <c r="D91" s="60" t="n"/>
      <c r="E91" s="60" t="n"/>
      <c r="F91" s="61" t="n"/>
      <c r="G91" s="60" t="n"/>
      <c r="H91" s="60" t="n"/>
      <c r="I91" s="60" t="n"/>
      <c r="J91" s="61" t="n"/>
      <c r="K91" s="60" t="n"/>
      <c r="L91" s="60" t="n"/>
      <c r="M91" s="60" t="n"/>
      <c r="N91" s="60" t="n"/>
      <c r="O91" s="61" t="n"/>
      <c r="P91" s="60" t="n"/>
      <c r="Q91" s="60" t="n"/>
      <c r="R91" s="60" t="n"/>
      <c r="S91" s="60" t="n"/>
      <c r="T91" s="60" t="n"/>
      <c r="U91" s="60" t="n"/>
      <c r="V91" s="60" t="n"/>
      <c r="W91" s="60" t="n"/>
      <c r="X91" s="62" t="n"/>
      <c r="Y91" s="63">
        <f>IF($A91="","",IF(OR($W91&lt;&gt;"Yes",$X91="",TODAY()-$X91&gt;90),"At Risk","Not At Risk"))</f>
        <v/>
      </c>
      <c r="Z91" s="61" t="n"/>
    </row>
    <row r="92" ht="15" customHeight="1" s="39">
      <c r="A92" s="60" t="n"/>
      <c r="B92" s="60" t="n"/>
      <c r="C92" s="60" t="n"/>
      <c r="D92" s="60" t="n"/>
      <c r="E92" s="60" t="n"/>
      <c r="F92" s="61" t="n"/>
      <c r="G92" s="60" t="n"/>
      <c r="H92" s="60" t="n"/>
      <c r="I92" s="60" t="n"/>
      <c r="J92" s="61" t="n"/>
      <c r="K92" s="60" t="n"/>
      <c r="L92" s="60" t="n"/>
      <c r="M92" s="60" t="n"/>
      <c r="N92" s="60" t="n"/>
      <c r="O92" s="61" t="n"/>
      <c r="P92" s="60" t="n"/>
      <c r="Q92" s="60" t="n"/>
      <c r="R92" s="60" t="n"/>
      <c r="S92" s="60" t="n"/>
      <c r="T92" s="60" t="n"/>
      <c r="U92" s="60" t="n"/>
      <c r="V92" s="60" t="n"/>
      <c r="W92" s="60" t="n"/>
      <c r="X92" s="62" t="n"/>
      <c r="Y92" s="63">
        <f>IF($A92="","",IF(OR($W92&lt;&gt;"Yes",$X92="",TODAY()-$X92&gt;90),"At Risk","Not At Risk"))</f>
        <v/>
      </c>
      <c r="Z92" s="61" t="n"/>
    </row>
    <row r="93" ht="15" customHeight="1" s="39">
      <c r="A93" s="60" t="n"/>
      <c r="B93" s="60" t="n"/>
      <c r="C93" s="60" t="n"/>
      <c r="D93" s="60" t="n"/>
      <c r="E93" s="60" t="n"/>
      <c r="F93" s="61" t="n"/>
      <c r="G93" s="60" t="n"/>
      <c r="H93" s="60" t="n"/>
      <c r="I93" s="60" t="n"/>
      <c r="J93" s="61" t="n"/>
      <c r="K93" s="60" t="n"/>
      <c r="L93" s="60" t="n"/>
      <c r="M93" s="60" t="n"/>
      <c r="N93" s="60" t="n"/>
      <c r="O93" s="61" t="n"/>
      <c r="P93" s="60" t="n"/>
      <c r="Q93" s="60" t="n"/>
      <c r="R93" s="60" t="n"/>
      <c r="S93" s="60" t="n"/>
      <c r="T93" s="60" t="n"/>
      <c r="U93" s="60" t="n"/>
      <c r="V93" s="60" t="n"/>
      <c r="W93" s="60" t="n"/>
      <c r="X93" s="62" t="n"/>
      <c r="Y93" s="63">
        <f>IF($A93="","",IF(OR($W93&lt;&gt;"Yes",$X93="",TODAY()-$X93&gt;90),"At Risk","Not At Risk"))</f>
        <v/>
      </c>
      <c r="Z93" s="61" t="n"/>
    </row>
    <row r="94" ht="15" customHeight="1" s="39">
      <c r="A94" s="60" t="n"/>
      <c r="B94" s="60" t="n"/>
      <c r="C94" s="60" t="n"/>
      <c r="D94" s="60" t="n"/>
      <c r="E94" s="60" t="n"/>
      <c r="F94" s="61" t="n"/>
      <c r="G94" s="60" t="n"/>
      <c r="H94" s="60" t="n"/>
      <c r="I94" s="60" t="n"/>
      <c r="J94" s="61" t="n"/>
      <c r="K94" s="60" t="n"/>
      <c r="L94" s="60" t="n"/>
      <c r="M94" s="60" t="n"/>
      <c r="N94" s="60" t="n"/>
      <c r="O94" s="61" t="n"/>
      <c r="P94" s="60" t="n"/>
      <c r="Q94" s="60" t="n"/>
      <c r="R94" s="60" t="n"/>
      <c r="S94" s="60" t="n"/>
      <c r="T94" s="60" t="n"/>
      <c r="U94" s="60" t="n"/>
      <c r="V94" s="60" t="n"/>
      <c r="W94" s="60" t="n"/>
      <c r="X94" s="62" t="n"/>
      <c r="Y94" s="63">
        <f>IF($A94="","",IF(OR($W94&lt;&gt;"Yes",$X94="",TODAY()-$X94&gt;90),"At Risk","Not At Risk"))</f>
        <v/>
      </c>
      <c r="Z94" s="61" t="n"/>
    </row>
    <row r="95" ht="15" customHeight="1" s="39">
      <c r="A95" s="60" t="n"/>
      <c r="B95" s="60" t="n"/>
      <c r="C95" s="60" t="n"/>
      <c r="D95" s="60" t="n"/>
      <c r="E95" s="60" t="n"/>
      <c r="F95" s="61" t="n"/>
      <c r="G95" s="60" t="n"/>
      <c r="H95" s="60" t="n"/>
      <c r="I95" s="60" t="n"/>
      <c r="J95" s="61" t="n"/>
      <c r="K95" s="60" t="n"/>
      <c r="L95" s="60" t="n"/>
      <c r="M95" s="60" t="n"/>
      <c r="N95" s="60" t="n"/>
      <c r="O95" s="61" t="n"/>
      <c r="P95" s="60" t="n"/>
      <c r="Q95" s="60" t="n"/>
      <c r="R95" s="60" t="n"/>
      <c r="S95" s="60" t="n"/>
      <c r="T95" s="60" t="n"/>
      <c r="U95" s="60" t="n"/>
      <c r="V95" s="60" t="n"/>
      <c r="W95" s="60" t="n"/>
      <c r="X95" s="62" t="n"/>
      <c r="Y95" s="63">
        <f>IF($A95="","",IF(OR($W95&lt;&gt;"Yes",$X95="",TODAY()-$X95&gt;90),"At Risk","Not At Risk"))</f>
        <v/>
      </c>
      <c r="Z95" s="61" t="n"/>
    </row>
    <row r="96" ht="15" customHeight="1" s="39">
      <c r="A96" s="60" t="n"/>
      <c r="B96" s="60" t="n"/>
      <c r="C96" s="60" t="n"/>
      <c r="D96" s="60" t="n"/>
      <c r="E96" s="60" t="n"/>
      <c r="F96" s="61" t="n"/>
      <c r="G96" s="60" t="n"/>
      <c r="H96" s="60" t="n"/>
      <c r="I96" s="60" t="n"/>
      <c r="J96" s="61" t="n"/>
      <c r="K96" s="60" t="n"/>
      <c r="L96" s="60" t="n"/>
      <c r="M96" s="60" t="n"/>
      <c r="N96" s="60" t="n"/>
      <c r="O96" s="61" t="n"/>
      <c r="P96" s="60" t="n"/>
      <c r="Q96" s="60" t="n"/>
      <c r="R96" s="60" t="n"/>
      <c r="S96" s="60" t="n"/>
      <c r="T96" s="60" t="n"/>
      <c r="U96" s="60" t="n"/>
      <c r="V96" s="60" t="n"/>
      <c r="W96" s="60" t="n"/>
      <c r="X96" s="62" t="n"/>
      <c r="Y96" s="63">
        <f>IF($A96="","",IF(OR($W96&lt;&gt;"Yes",$X96="",TODAY()-$X96&gt;90),"At Risk","Not At Risk"))</f>
        <v/>
      </c>
      <c r="Z96" s="61" t="n"/>
    </row>
    <row r="97" ht="15" customHeight="1" s="39">
      <c r="A97" s="60" t="n"/>
      <c r="B97" s="60" t="n"/>
      <c r="C97" s="60" t="n"/>
      <c r="D97" s="60" t="n"/>
      <c r="E97" s="60" t="n"/>
      <c r="F97" s="61" t="n"/>
      <c r="G97" s="60" t="n"/>
      <c r="H97" s="60" t="n"/>
      <c r="I97" s="60" t="n"/>
      <c r="J97" s="61" t="n"/>
      <c r="K97" s="60" t="n"/>
      <c r="L97" s="60" t="n"/>
      <c r="M97" s="60" t="n"/>
      <c r="N97" s="60" t="n"/>
      <c r="O97" s="61" t="n"/>
      <c r="P97" s="60" t="n"/>
      <c r="Q97" s="60" t="n"/>
      <c r="R97" s="60" t="n"/>
      <c r="S97" s="60" t="n"/>
      <c r="T97" s="60" t="n"/>
      <c r="U97" s="60" t="n"/>
      <c r="V97" s="60" t="n"/>
      <c r="W97" s="60" t="n"/>
      <c r="X97" s="62" t="n"/>
      <c r="Y97" s="63">
        <f>IF($A97="","",IF(OR($W97&lt;&gt;"Yes",$X97="",TODAY()-$X97&gt;90),"At Risk","Not At Risk"))</f>
        <v/>
      </c>
      <c r="Z97" s="61" t="n"/>
    </row>
    <row r="98" ht="15" customHeight="1" s="39">
      <c r="A98" s="60" t="n"/>
      <c r="B98" s="60" t="n"/>
      <c r="C98" s="60" t="n"/>
      <c r="D98" s="60" t="n"/>
      <c r="E98" s="60" t="n"/>
      <c r="F98" s="61" t="n"/>
      <c r="G98" s="60" t="n"/>
      <c r="H98" s="60" t="n"/>
      <c r="I98" s="60" t="n"/>
      <c r="J98" s="61" t="n"/>
      <c r="K98" s="60" t="n"/>
      <c r="L98" s="60" t="n"/>
      <c r="M98" s="60" t="n"/>
      <c r="N98" s="60" t="n"/>
      <c r="O98" s="61" t="n"/>
      <c r="P98" s="60" t="n"/>
      <c r="Q98" s="60" t="n"/>
      <c r="R98" s="60" t="n"/>
      <c r="S98" s="60" t="n"/>
      <c r="T98" s="60" t="n"/>
      <c r="U98" s="60" t="n"/>
      <c r="V98" s="60" t="n"/>
      <c r="W98" s="60" t="n"/>
      <c r="X98" s="62" t="n"/>
      <c r="Y98" s="63">
        <f>IF($A98="","",IF(OR($W98&lt;&gt;"Yes",$X98="",TODAY()-$X98&gt;90),"At Risk","Not At Risk"))</f>
        <v/>
      </c>
      <c r="Z98" s="61" t="n"/>
    </row>
    <row r="99" ht="15" customHeight="1" s="39">
      <c r="A99" s="60" t="n"/>
      <c r="B99" s="60" t="n"/>
      <c r="C99" s="60" t="n"/>
      <c r="D99" s="60" t="n"/>
      <c r="E99" s="60" t="n"/>
      <c r="F99" s="61" t="n"/>
      <c r="G99" s="60" t="n"/>
      <c r="H99" s="60" t="n"/>
      <c r="I99" s="60" t="n"/>
      <c r="J99" s="61" t="n"/>
      <c r="K99" s="60" t="n"/>
      <c r="L99" s="60" t="n"/>
      <c r="M99" s="60" t="n"/>
      <c r="N99" s="60" t="n"/>
      <c r="O99" s="61" t="n"/>
      <c r="P99" s="60" t="n"/>
      <c r="Q99" s="60" t="n"/>
      <c r="R99" s="60" t="n"/>
      <c r="S99" s="60" t="n"/>
      <c r="T99" s="60" t="n"/>
      <c r="U99" s="60" t="n"/>
      <c r="V99" s="60" t="n"/>
      <c r="W99" s="60" t="n"/>
      <c r="X99" s="62" t="n"/>
      <c r="Y99" s="63">
        <f>IF($A99="","",IF(OR($W99&lt;&gt;"Yes",$X99="",TODAY()-$X99&gt;90),"At Risk","Not At Risk"))</f>
        <v/>
      </c>
      <c r="Z99" s="61" t="n"/>
    </row>
    <row r="100" ht="15" customHeight="1" s="39">
      <c r="A100" s="60" t="n"/>
      <c r="B100" s="60" t="n"/>
      <c r="C100" s="60" t="n"/>
      <c r="D100" s="60" t="n"/>
      <c r="E100" s="60" t="n"/>
      <c r="F100" s="61" t="n"/>
      <c r="G100" s="60" t="n"/>
      <c r="H100" s="60" t="n"/>
      <c r="I100" s="60" t="n"/>
      <c r="J100" s="61" t="n"/>
      <c r="K100" s="60" t="n"/>
      <c r="L100" s="60" t="n"/>
      <c r="M100" s="60" t="n"/>
      <c r="N100" s="60" t="n"/>
      <c r="O100" s="61" t="n"/>
      <c r="P100" s="60" t="n"/>
      <c r="Q100" s="60" t="n"/>
      <c r="R100" s="60" t="n"/>
      <c r="S100" s="60" t="n"/>
      <c r="T100" s="60" t="n"/>
      <c r="U100" s="60" t="n"/>
      <c r="V100" s="60" t="n"/>
      <c r="W100" s="60" t="n"/>
      <c r="X100" s="62" t="n"/>
      <c r="Y100" s="63">
        <f>IF($A100="","",IF(OR($W100&lt;&gt;"Yes",$X100="",TODAY()-$X100&gt;90),"At Risk","Not At Risk"))</f>
        <v/>
      </c>
      <c r="Z100" s="61" t="n"/>
    </row>
    <row r="101" ht="15" customHeight="1" s="39">
      <c r="A101" s="60" t="n"/>
      <c r="B101" s="60" t="n"/>
      <c r="C101" s="60" t="n"/>
      <c r="D101" s="60" t="n"/>
      <c r="E101" s="60" t="n"/>
      <c r="F101" s="61" t="n"/>
      <c r="G101" s="60" t="n"/>
      <c r="H101" s="60" t="n"/>
      <c r="I101" s="60" t="n"/>
      <c r="J101" s="61" t="n"/>
      <c r="K101" s="60" t="n"/>
      <c r="L101" s="60" t="n"/>
      <c r="M101" s="60" t="n"/>
      <c r="N101" s="60" t="n"/>
      <c r="O101" s="61" t="n"/>
      <c r="P101" s="60" t="n"/>
      <c r="Q101" s="60" t="n"/>
      <c r="R101" s="60" t="n"/>
      <c r="S101" s="60" t="n"/>
      <c r="T101" s="60" t="n"/>
      <c r="U101" s="60" t="n"/>
      <c r="V101" s="60" t="n"/>
      <c r="W101" s="60" t="n"/>
      <c r="X101" s="62" t="n"/>
      <c r="Y101" s="63">
        <f>IF($A101="","",IF(OR($W101&lt;&gt;"Yes",$X101="",TODAY()-$X101&gt;90),"At Risk","Not At Risk"))</f>
        <v/>
      </c>
      <c r="Z101" s="61" t="n"/>
    </row>
    <row r="102" ht="15" customHeight="1" s="39">
      <c r="A102" s="60" t="n"/>
      <c r="B102" s="60" t="n"/>
      <c r="C102" s="60" t="n"/>
      <c r="D102" s="60" t="n"/>
      <c r="E102" s="60" t="n"/>
      <c r="F102" s="61" t="n"/>
      <c r="G102" s="60" t="n"/>
      <c r="H102" s="60" t="n"/>
      <c r="I102" s="60" t="n"/>
      <c r="J102" s="61" t="n"/>
      <c r="K102" s="60" t="n"/>
      <c r="L102" s="60" t="n"/>
      <c r="M102" s="60" t="n"/>
      <c r="N102" s="60" t="n"/>
      <c r="O102" s="61" t="n"/>
      <c r="P102" s="60" t="n"/>
      <c r="Q102" s="60" t="n"/>
      <c r="R102" s="60" t="n"/>
      <c r="S102" s="60" t="n"/>
      <c r="T102" s="60" t="n"/>
      <c r="U102" s="60" t="n"/>
      <c r="V102" s="60" t="n"/>
      <c r="W102" s="60" t="n"/>
      <c r="X102" s="62" t="n"/>
      <c r="Y102" s="63">
        <f>IF($A102="","",IF(OR($W102&lt;&gt;"Yes",$X102="",TODAY()-$X102&gt;90),"At Risk","Not At Risk"))</f>
        <v/>
      </c>
      <c r="Z102" s="61" t="n"/>
    </row>
    <row r="103" ht="15" customHeight="1" s="39">
      <c r="A103" s="60" t="n"/>
      <c r="B103" s="60" t="n"/>
      <c r="C103" s="60" t="n"/>
      <c r="D103" s="60" t="n"/>
      <c r="E103" s="60" t="n"/>
      <c r="F103" s="61" t="n"/>
      <c r="G103" s="60" t="n"/>
      <c r="H103" s="60" t="n"/>
      <c r="I103" s="60" t="n"/>
      <c r="J103" s="61" t="n"/>
      <c r="K103" s="60" t="n"/>
      <c r="L103" s="60" t="n"/>
      <c r="M103" s="60" t="n"/>
      <c r="N103" s="60" t="n"/>
      <c r="O103" s="61" t="n"/>
      <c r="P103" s="60" t="n"/>
      <c r="Q103" s="60" t="n"/>
      <c r="R103" s="60" t="n"/>
      <c r="S103" s="60" t="n"/>
      <c r="T103" s="60" t="n"/>
      <c r="U103" s="60" t="n"/>
      <c r="V103" s="60" t="n"/>
      <c r="W103" s="60" t="n"/>
      <c r="X103" s="62" t="n"/>
      <c r="Y103" s="63">
        <f>IF($A103="","",IF(OR($W103&lt;&gt;"Yes",$X103="",TODAY()-$X103&gt;90),"At Risk","Not At Risk"))</f>
        <v/>
      </c>
      <c r="Z103" s="61" t="n"/>
    </row>
    <row r="104" ht="15" customHeight="1" s="39">
      <c r="A104" s="60" t="n"/>
      <c r="B104" s="60" t="n"/>
      <c r="C104" s="60" t="n"/>
      <c r="D104" s="60" t="n"/>
      <c r="E104" s="60" t="n"/>
      <c r="F104" s="61" t="n"/>
      <c r="G104" s="60" t="n"/>
      <c r="H104" s="60" t="n"/>
      <c r="I104" s="60" t="n"/>
      <c r="J104" s="61" t="n"/>
      <c r="K104" s="60" t="n"/>
      <c r="L104" s="60" t="n"/>
      <c r="M104" s="60" t="n"/>
      <c r="N104" s="60" t="n"/>
      <c r="O104" s="61" t="n"/>
      <c r="P104" s="60" t="n"/>
      <c r="Q104" s="60" t="n"/>
      <c r="R104" s="60" t="n"/>
      <c r="S104" s="60" t="n"/>
      <c r="T104" s="60" t="n"/>
      <c r="U104" s="60" t="n"/>
      <c r="V104" s="60" t="n"/>
      <c r="W104" s="60" t="n"/>
      <c r="X104" s="62" t="n"/>
      <c r="Y104" s="63">
        <f>IF($A104="","",IF(OR($W104&lt;&gt;"Yes",$X104="",TODAY()-$X104&gt;90),"At Risk","Not At Risk"))</f>
        <v/>
      </c>
      <c r="Z104" s="61" t="n"/>
    </row>
    <row r="105" ht="15" customHeight="1" s="39">
      <c r="A105" s="60" t="n"/>
      <c r="B105" s="60" t="n"/>
      <c r="C105" s="60" t="n"/>
      <c r="D105" s="60" t="n"/>
      <c r="E105" s="60" t="n"/>
      <c r="F105" s="61" t="n"/>
      <c r="G105" s="60" t="n"/>
      <c r="H105" s="60" t="n"/>
      <c r="I105" s="60" t="n"/>
      <c r="J105" s="61" t="n"/>
      <c r="K105" s="60" t="n"/>
      <c r="L105" s="60" t="n"/>
      <c r="M105" s="60" t="n"/>
      <c r="N105" s="60" t="n"/>
      <c r="O105" s="61" t="n"/>
      <c r="P105" s="60" t="n"/>
      <c r="Q105" s="60" t="n"/>
      <c r="R105" s="60" t="n"/>
      <c r="S105" s="60" t="n"/>
      <c r="T105" s="60" t="n"/>
      <c r="U105" s="60" t="n"/>
      <c r="V105" s="60" t="n"/>
      <c r="W105" s="60" t="n"/>
      <c r="X105" s="62" t="n"/>
      <c r="Y105" s="63">
        <f>IF($A105="","",IF(OR($W105&lt;&gt;"Yes",$X105="",TODAY()-$X105&gt;90),"At Risk","Not At Risk"))</f>
        <v/>
      </c>
      <c r="Z105" s="61" t="n"/>
    </row>
    <row r="106" ht="15" customHeight="1" s="39">
      <c r="A106" s="60" t="n"/>
      <c r="B106" s="60" t="n"/>
      <c r="C106" s="60" t="n"/>
      <c r="D106" s="60" t="n"/>
      <c r="E106" s="60" t="n"/>
      <c r="F106" s="61" t="n"/>
      <c r="G106" s="60" t="n"/>
      <c r="H106" s="60" t="n"/>
      <c r="I106" s="60" t="n"/>
      <c r="J106" s="61" t="n"/>
      <c r="K106" s="60" t="n"/>
      <c r="L106" s="60" t="n"/>
      <c r="M106" s="60" t="n"/>
      <c r="N106" s="60" t="n"/>
      <c r="O106" s="61" t="n"/>
      <c r="P106" s="60" t="n"/>
      <c r="Q106" s="60" t="n"/>
      <c r="R106" s="60" t="n"/>
      <c r="S106" s="60" t="n"/>
      <c r="T106" s="60" t="n"/>
      <c r="U106" s="60" t="n"/>
      <c r="V106" s="60" t="n"/>
      <c r="W106" s="60" t="n"/>
      <c r="X106" s="62" t="n"/>
      <c r="Y106" s="63">
        <f>IF($A106="","",IF(OR($W106&lt;&gt;"Yes",$X106="",TODAY()-$X106&gt;90),"At Risk","Not At Risk"))</f>
        <v/>
      </c>
      <c r="Z106" s="61" t="n"/>
    </row>
    <row r="107" ht="15" customHeight="1" s="39">
      <c r="A107" s="60" t="n"/>
      <c r="B107" s="60" t="n"/>
      <c r="C107" s="60" t="n"/>
      <c r="D107" s="60" t="n"/>
      <c r="E107" s="60" t="n"/>
      <c r="F107" s="61" t="n"/>
      <c r="G107" s="60" t="n"/>
      <c r="H107" s="60" t="n"/>
      <c r="I107" s="60" t="n"/>
      <c r="J107" s="61" t="n"/>
      <c r="K107" s="60" t="n"/>
      <c r="L107" s="60" t="n"/>
      <c r="M107" s="60" t="n"/>
      <c r="N107" s="60" t="n"/>
      <c r="O107" s="61" t="n"/>
      <c r="P107" s="60" t="n"/>
      <c r="Q107" s="60" t="n"/>
      <c r="R107" s="60" t="n"/>
      <c r="S107" s="60" t="n"/>
      <c r="T107" s="60" t="n"/>
      <c r="U107" s="60" t="n"/>
      <c r="V107" s="60" t="n"/>
      <c r="W107" s="60" t="n"/>
      <c r="X107" s="62" t="n"/>
      <c r="Y107" s="63">
        <f>IF($A107="","",IF(OR($W107&lt;&gt;"Yes",$X107="",TODAY()-$X107&gt;90),"At Risk","Not At Risk"))</f>
        <v/>
      </c>
      <c r="Z107" s="61" t="n"/>
    </row>
    <row r="108" ht="15" customHeight="1" s="39">
      <c r="A108" s="60" t="n"/>
      <c r="B108" s="60" t="n"/>
      <c r="C108" s="60" t="n"/>
      <c r="D108" s="60" t="n"/>
      <c r="E108" s="60" t="n"/>
      <c r="F108" s="61" t="n"/>
      <c r="G108" s="60" t="n"/>
      <c r="H108" s="60" t="n"/>
      <c r="I108" s="60" t="n"/>
      <c r="J108" s="61" t="n"/>
      <c r="K108" s="60" t="n"/>
      <c r="L108" s="60" t="n"/>
      <c r="M108" s="60" t="n"/>
      <c r="N108" s="60" t="n"/>
      <c r="O108" s="61" t="n"/>
      <c r="P108" s="60" t="n"/>
      <c r="Q108" s="60" t="n"/>
      <c r="R108" s="60" t="n"/>
      <c r="S108" s="60" t="n"/>
      <c r="T108" s="60" t="n"/>
      <c r="U108" s="60" t="n"/>
      <c r="V108" s="60" t="n"/>
      <c r="W108" s="60" t="n"/>
      <c r="X108" s="62" t="n"/>
      <c r="Y108" s="63">
        <f>IF($A108="","",IF(OR($W108&lt;&gt;"Yes",$X108="",TODAY()-$X108&gt;90),"At Risk","Not At Risk"))</f>
        <v/>
      </c>
      <c r="Z108" s="61" t="n"/>
    </row>
    <row r="109" ht="15" customHeight="1" s="39">
      <c r="A109" s="60" t="n"/>
      <c r="B109" s="60" t="n"/>
      <c r="C109" s="60" t="n"/>
      <c r="D109" s="60" t="n"/>
      <c r="E109" s="60" t="n"/>
      <c r="F109" s="61" t="n"/>
      <c r="G109" s="60" t="n"/>
      <c r="H109" s="60" t="n"/>
      <c r="I109" s="60" t="n"/>
      <c r="J109" s="61" t="n"/>
      <c r="K109" s="60" t="n"/>
      <c r="L109" s="60" t="n"/>
      <c r="M109" s="60" t="n"/>
      <c r="N109" s="60" t="n"/>
      <c r="O109" s="61" t="n"/>
      <c r="P109" s="60" t="n"/>
      <c r="Q109" s="60" t="n"/>
      <c r="R109" s="60" t="n"/>
      <c r="S109" s="60" t="n"/>
      <c r="T109" s="60" t="n"/>
      <c r="U109" s="60" t="n"/>
      <c r="V109" s="60" t="n"/>
      <c r="W109" s="60" t="n"/>
      <c r="X109" s="62" t="n"/>
      <c r="Y109" s="63">
        <f>IF($A109="","",IF(OR($W109&lt;&gt;"Yes",$X109="",TODAY()-$X109&gt;90),"At Risk","Not At Risk"))</f>
        <v/>
      </c>
      <c r="Z109" s="61" t="n"/>
    </row>
    <row r="110" ht="15" customHeight="1" s="39">
      <c r="A110" s="60" t="n"/>
      <c r="B110" s="60" t="n"/>
      <c r="C110" s="60" t="n"/>
      <c r="D110" s="60" t="n"/>
      <c r="E110" s="60" t="n"/>
      <c r="F110" s="61" t="n"/>
      <c r="G110" s="60" t="n"/>
      <c r="H110" s="60" t="n"/>
      <c r="I110" s="60" t="n"/>
      <c r="J110" s="61" t="n"/>
      <c r="K110" s="60" t="n"/>
      <c r="L110" s="60" t="n"/>
      <c r="M110" s="60" t="n"/>
      <c r="N110" s="60" t="n"/>
      <c r="O110" s="61" t="n"/>
      <c r="P110" s="60" t="n"/>
      <c r="Q110" s="60" t="n"/>
      <c r="R110" s="60" t="n"/>
      <c r="S110" s="60" t="n"/>
      <c r="T110" s="60" t="n"/>
      <c r="U110" s="60" t="n"/>
      <c r="V110" s="60" t="n"/>
      <c r="W110" s="60" t="n"/>
      <c r="X110" s="62" t="n"/>
      <c r="Y110" s="63">
        <f>IF($A110="","",IF(OR($W110&lt;&gt;"Yes",$X110="",TODAY()-$X110&gt;90),"At Risk","Not At Risk"))</f>
        <v/>
      </c>
      <c r="Z110" s="61" t="n"/>
    </row>
    <row r="111" ht="15" customHeight="1" s="39">
      <c r="A111" s="60" t="n"/>
      <c r="B111" s="60" t="n"/>
      <c r="C111" s="60" t="n"/>
      <c r="D111" s="60" t="n"/>
      <c r="E111" s="60" t="n"/>
      <c r="F111" s="61" t="n"/>
      <c r="G111" s="60" t="n"/>
      <c r="H111" s="60" t="n"/>
      <c r="I111" s="60" t="n"/>
      <c r="J111" s="61" t="n"/>
      <c r="K111" s="60" t="n"/>
      <c r="L111" s="60" t="n"/>
      <c r="M111" s="60" t="n"/>
      <c r="N111" s="60" t="n"/>
      <c r="O111" s="61" t="n"/>
      <c r="P111" s="60" t="n"/>
      <c r="Q111" s="60" t="n"/>
      <c r="R111" s="60" t="n"/>
      <c r="S111" s="60" t="n"/>
      <c r="T111" s="60" t="n"/>
      <c r="U111" s="60" t="n"/>
      <c r="V111" s="60" t="n"/>
      <c r="W111" s="60" t="n"/>
      <c r="X111" s="62" t="n"/>
      <c r="Y111" s="63">
        <f>IF($A111="","",IF(OR($W111&lt;&gt;"Yes",$X111="",TODAY()-$X111&gt;90),"At Risk","Not At Risk"))</f>
        <v/>
      </c>
      <c r="Z111" s="61" t="n"/>
    </row>
    <row r="112" ht="15" customHeight="1" s="39">
      <c r="A112" s="60" t="n"/>
      <c r="B112" s="60" t="n"/>
      <c r="C112" s="60" t="n"/>
      <c r="D112" s="60" t="n"/>
      <c r="E112" s="60" t="n"/>
      <c r="F112" s="61" t="n"/>
      <c r="G112" s="60" t="n"/>
      <c r="H112" s="60" t="n"/>
      <c r="I112" s="60" t="n"/>
      <c r="J112" s="61" t="n"/>
      <c r="K112" s="60" t="n"/>
      <c r="L112" s="60" t="n"/>
      <c r="M112" s="60" t="n"/>
      <c r="N112" s="60" t="n"/>
      <c r="O112" s="61" t="n"/>
      <c r="P112" s="60" t="n"/>
      <c r="Q112" s="60" t="n"/>
      <c r="R112" s="60" t="n"/>
      <c r="S112" s="60" t="n"/>
      <c r="T112" s="60" t="n"/>
      <c r="U112" s="60" t="n"/>
      <c r="V112" s="60" t="n"/>
      <c r="W112" s="60" t="n"/>
      <c r="X112" s="62" t="n"/>
      <c r="Y112" s="63">
        <f>IF($A112="","",IF(OR($W112&lt;&gt;"Yes",$X112="",TODAY()-$X112&gt;90),"At Risk","Not At Risk"))</f>
        <v/>
      </c>
      <c r="Z112" s="61" t="n"/>
    </row>
    <row r="113" ht="15" customHeight="1" s="39">
      <c r="A113" s="60" t="n"/>
      <c r="B113" s="60" t="n"/>
      <c r="C113" s="60" t="n"/>
      <c r="D113" s="60" t="n"/>
      <c r="E113" s="60" t="n"/>
      <c r="F113" s="61" t="n"/>
      <c r="G113" s="60" t="n"/>
      <c r="H113" s="60" t="n"/>
      <c r="I113" s="60" t="n"/>
      <c r="J113" s="61" t="n"/>
      <c r="K113" s="60" t="n"/>
      <c r="L113" s="60" t="n"/>
      <c r="M113" s="60" t="n"/>
      <c r="N113" s="60" t="n"/>
      <c r="O113" s="61" t="n"/>
      <c r="P113" s="60" t="n"/>
      <c r="Q113" s="60" t="n"/>
      <c r="R113" s="60" t="n"/>
      <c r="S113" s="60" t="n"/>
      <c r="T113" s="60" t="n"/>
      <c r="U113" s="60" t="n"/>
      <c r="V113" s="60" t="n"/>
      <c r="W113" s="60" t="n"/>
      <c r="X113" s="62" t="n"/>
      <c r="Y113" s="63">
        <f>IF($A113="","",IF(OR($W113&lt;&gt;"Yes",$X113="",TODAY()-$X113&gt;90),"At Risk","Not At Risk"))</f>
        <v/>
      </c>
      <c r="Z113" s="61" t="n"/>
    </row>
    <row r="114" ht="15" customHeight="1" s="39">
      <c r="A114" s="60" t="n"/>
      <c r="B114" s="60" t="n"/>
      <c r="C114" s="60" t="n"/>
      <c r="D114" s="60" t="n"/>
      <c r="E114" s="60" t="n"/>
      <c r="F114" s="61" t="n"/>
      <c r="G114" s="60" t="n"/>
      <c r="H114" s="60" t="n"/>
      <c r="I114" s="60" t="n"/>
      <c r="J114" s="61" t="n"/>
      <c r="K114" s="60" t="n"/>
      <c r="L114" s="60" t="n"/>
      <c r="M114" s="60" t="n"/>
      <c r="N114" s="60" t="n"/>
      <c r="O114" s="61" t="n"/>
      <c r="P114" s="60" t="n"/>
      <c r="Q114" s="60" t="n"/>
      <c r="R114" s="60" t="n"/>
      <c r="S114" s="60" t="n"/>
      <c r="T114" s="60" t="n"/>
      <c r="U114" s="60" t="n"/>
      <c r="V114" s="60" t="n"/>
      <c r="W114" s="60" t="n"/>
      <c r="X114" s="62" t="n"/>
      <c r="Y114" s="63">
        <f>IF($A114="","",IF(OR($W114&lt;&gt;"Yes",$X114="",TODAY()-$X114&gt;90),"At Risk","Not At Risk"))</f>
        <v/>
      </c>
      <c r="Z114" s="61" t="n"/>
    </row>
    <row r="115" ht="15" customHeight="1" s="39">
      <c r="A115" s="60" t="n"/>
      <c r="B115" s="60" t="n"/>
      <c r="C115" s="60" t="n"/>
      <c r="D115" s="60" t="n"/>
      <c r="E115" s="60" t="n"/>
      <c r="F115" s="61" t="n"/>
      <c r="G115" s="60" t="n"/>
      <c r="H115" s="60" t="n"/>
      <c r="I115" s="60" t="n"/>
      <c r="J115" s="61" t="n"/>
      <c r="K115" s="60" t="n"/>
      <c r="L115" s="60" t="n"/>
      <c r="M115" s="60" t="n"/>
      <c r="N115" s="60" t="n"/>
      <c r="O115" s="61" t="n"/>
      <c r="P115" s="60" t="n"/>
      <c r="Q115" s="60" t="n"/>
      <c r="R115" s="60" t="n"/>
      <c r="S115" s="60" t="n"/>
      <c r="T115" s="60" t="n"/>
      <c r="U115" s="60" t="n"/>
      <c r="V115" s="60" t="n"/>
      <c r="W115" s="60" t="n"/>
      <c r="X115" s="62" t="n"/>
      <c r="Y115" s="63">
        <f>IF($A115="","",IF(OR($W115&lt;&gt;"Yes",$X115="",TODAY()-$X115&gt;90),"At Risk","Not At Risk"))</f>
        <v/>
      </c>
      <c r="Z115" s="61" t="n"/>
    </row>
    <row r="116" ht="15" customHeight="1" s="39">
      <c r="A116" s="60" t="n"/>
      <c r="B116" s="60" t="n"/>
      <c r="C116" s="60" t="n"/>
      <c r="D116" s="60" t="n"/>
      <c r="E116" s="60" t="n"/>
      <c r="F116" s="61" t="n"/>
      <c r="G116" s="60" t="n"/>
      <c r="H116" s="60" t="n"/>
      <c r="I116" s="60" t="n"/>
      <c r="J116" s="61" t="n"/>
      <c r="K116" s="60" t="n"/>
      <c r="L116" s="60" t="n"/>
      <c r="M116" s="60" t="n"/>
      <c r="N116" s="60" t="n"/>
      <c r="O116" s="61" t="n"/>
      <c r="P116" s="60" t="n"/>
      <c r="Q116" s="60" t="n"/>
      <c r="R116" s="60" t="n"/>
      <c r="S116" s="60" t="n"/>
      <c r="T116" s="60" t="n"/>
      <c r="U116" s="60" t="n"/>
      <c r="V116" s="60" t="n"/>
      <c r="W116" s="60" t="n"/>
      <c r="X116" s="62" t="n"/>
      <c r="Y116" s="63">
        <f>IF($A116="","",IF(OR($W116&lt;&gt;"Yes",$X116="",TODAY()-$X116&gt;90),"At Risk","Not At Risk"))</f>
        <v/>
      </c>
      <c r="Z116" s="61" t="n"/>
    </row>
    <row r="117" ht="15" customHeight="1" s="39">
      <c r="A117" s="60" t="n"/>
      <c r="B117" s="60" t="n"/>
      <c r="C117" s="60" t="n"/>
      <c r="D117" s="60" t="n"/>
      <c r="E117" s="60" t="n"/>
      <c r="F117" s="61" t="n"/>
      <c r="G117" s="60" t="n"/>
      <c r="H117" s="60" t="n"/>
      <c r="I117" s="60" t="n"/>
      <c r="J117" s="61" t="n"/>
      <c r="K117" s="60" t="n"/>
      <c r="L117" s="60" t="n"/>
      <c r="M117" s="60" t="n"/>
      <c r="N117" s="60" t="n"/>
      <c r="O117" s="61" t="n"/>
      <c r="P117" s="60" t="n"/>
      <c r="Q117" s="60" t="n"/>
      <c r="R117" s="60" t="n"/>
      <c r="S117" s="60" t="n"/>
      <c r="T117" s="60" t="n"/>
      <c r="U117" s="60" t="n"/>
      <c r="V117" s="60" t="n"/>
      <c r="W117" s="60" t="n"/>
      <c r="X117" s="62" t="n"/>
      <c r="Y117" s="63">
        <f>IF($A117="","",IF(OR($W117&lt;&gt;"Yes",$X117="",TODAY()-$X117&gt;90),"At Risk","Not At Risk"))</f>
        <v/>
      </c>
      <c r="Z117" s="61" t="n"/>
    </row>
    <row r="118" ht="15" customHeight="1" s="39">
      <c r="A118" s="60" t="n"/>
      <c r="B118" s="60" t="n"/>
      <c r="C118" s="60" t="n"/>
      <c r="D118" s="60" t="n"/>
      <c r="E118" s="60" t="n"/>
      <c r="F118" s="61" t="n"/>
      <c r="G118" s="60" t="n"/>
      <c r="H118" s="60" t="n"/>
      <c r="I118" s="60" t="n"/>
      <c r="J118" s="61" t="n"/>
      <c r="K118" s="60" t="n"/>
      <c r="L118" s="60" t="n"/>
      <c r="M118" s="60" t="n"/>
      <c r="N118" s="60" t="n"/>
      <c r="O118" s="61" t="n"/>
      <c r="P118" s="60" t="n"/>
      <c r="Q118" s="60" t="n"/>
      <c r="R118" s="60" t="n"/>
      <c r="S118" s="60" t="n"/>
      <c r="T118" s="60" t="n"/>
      <c r="U118" s="60" t="n"/>
      <c r="V118" s="60" t="n"/>
      <c r="W118" s="60" t="n"/>
      <c r="X118" s="62" t="n"/>
      <c r="Y118" s="63">
        <f>IF($A118="","",IF(OR($W118&lt;&gt;"Yes",$X118="",TODAY()-$X118&gt;90),"At Risk","Not At Risk"))</f>
        <v/>
      </c>
      <c r="Z118" s="61" t="n"/>
    </row>
    <row r="119" ht="15" customHeight="1" s="39">
      <c r="A119" s="60" t="n"/>
      <c r="B119" s="60" t="n"/>
      <c r="C119" s="60" t="n"/>
      <c r="D119" s="60" t="n"/>
      <c r="E119" s="60" t="n"/>
      <c r="F119" s="61" t="n"/>
      <c r="G119" s="60" t="n"/>
      <c r="H119" s="60" t="n"/>
      <c r="I119" s="60" t="n"/>
      <c r="J119" s="61" t="n"/>
      <c r="K119" s="60" t="n"/>
      <c r="L119" s="60" t="n"/>
      <c r="M119" s="60" t="n"/>
      <c r="N119" s="60" t="n"/>
      <c r="O119" s="61" t="n"/>
      <c r="P119" s="60" t="n"/>
      <c r="Q119" s="60" t="n"/>
      <c r="R119" s="60" t="n"/>
      <c r="S119" s="60" t="n"/>
      <c r="T119" s="60" t="n"/>
      <c r="U119" s="60" t="n"/>
      <c r="V119" s="60" t="n"/>
      <c r="W119" s="60" t="n"/>
      <c r="X119" s="62" t="n"/>
      <c r="Y119" s="63">
        <f>IF($A119="","",IF(OR($W119&lt;&gt;"Yes",$X119="",TODAY()-$X119&gt;90),"At Risk","Not At Risk"))</f>
        <v/>
      </c>
      <c r="Z119" s="61" t="n"/>
    </row>
    <row r="120" ht="15" customHeight="1" s="39">
      <c r="A120" s="60" t="n"/>
      <c r="B120" s="60" t="n"/>
      <c r="C120" s="60" t="n"/>
      <c r="D120" s="60" t="n"/>
      <c r="E120" s="60" t="n"/>
      <c r="F120" s="61" t="n"/>
      <c r="G120" s="60" t="n"/>
      <c r="H120" s="60" t="n"/>
      <c r="I120" s="60" t="n"/>
      <c r="J120" s="61" t="n"/>
      <c r="K120" s="60" t="n"/>
      <c r="L120" s="60" t="n"/>
      <c r="M120" s="60" t="n"/>
      <c r="N120" s="60" t="n"/>
      <c r="O120" s="61" t="n"/>
      <c r="P120" s="60" t="n"/>
      <c r="Q120" s="60" t="n"/>
      <c r="R120" s="60" t="n"/>
      <c r="S120" s="60" t="n"/>
      <c r="T120" s="60" t="n"/>
      <c r="U120" s="60" t="n"/>
      <c r="V120" s="60" t="n"/>
      <c r="W120" s="60" t="n"/>
      <c r="X120" s="62" t="n"/>
      <c r="Y120" s="63">
        <f>IF($A120="","",IF(OR($W120&lt;&gt;"Yes",$X120="",TODAY()-$X120&gt;90),"At Risk","Not At Risk"))</f>
        <v/>
      </c>
      <c r="Z120" s="61" t="n"/>
    </row>
    <row r="121" ht="15" customHeight="1" s="39">
      <c r="A121" s="60" t="n"/>
      <c r="B121" s="60" t="n"/>
      <c r="C121" s="60" t="n"/>
      <c r="D121" s="60" t="n"/>
      <c r="E121" s="60" t="n"/>
      <c r="F121" s="61" t="n"/>
      <c r="G121" s="60" t="n"/>
      <c r="H121" s="60" t="n"/>
      <c r="I121" s="60" t="n"/>
      <c r="J121" s="61" t="n"/>
      <c r="K121" s="60" t="n"/>
      <c r="L121" s="60" t="n"/>
      <c r="M121" s="60" t="n"/>
      <c r="N121" s="60" t="n"/>
      <c r="O121" s="61" t="n"/>
      <c r="P121" s="60" t="n"/>
      <c r="Q121" s="60" t="n"/>
      <c r="R121" s="60" t="n"/>
      <c r="S121" s="60" t="n"/>
      <c r="T121" s="60" t="n"/>
      <c r="U121" s="60" t="n"/>
      <c r="V121" s="60" t="n"/>
      <c r="W121" s="60" t="n"/>
      <c r="X121" s="62" t="n"/>
      <c r="Y121" s="63">
        <f>IF($A121="","",IF(OR($W121&lt;&gt;"Yes",$X121="",TODAY()-$X121&gt;90),"At Risk","Not At Risk"))</f>
        <v/>
      </c>
      <c r="Z121" s="61" t="n"/>
    </row>
    <row r="122" ht="15" customHeight="1" s="39">
      <c r="A122" s="60" t="n"/>
      <c r="B122" s="60" t="n"/>
      <c r="C122" s="60" t="n"/>
      <c r="D122" s="60" t="n"/>
      <c r="E122" s="60" t="n"/>
      <c r="F122" s="61" t="n"/>
      <c r="G122" s="60" t="n"/>
      <c r="H122" s="60" t="n"/>
      <c r="I122" s="60" t="n"/>
      <c r="J122" s="61" t="n"/>
      <c r="K122" s="60" t="n"/>
      <c r="L122" s="60" t="n"/>
      <c r="M122" s="60" t="n"/>
      <c r="N122" s="60" t="n"/>
      <c r="O122" s="61" t="n"/>
      <c r="P122" s="60" t="n"/>
      <c r="Q122" s="60" t="n"/>
      <c r="R122" s="60" t="n"/>
      <c r="S122" s="60" t="n"/>
      <c r="T122" s="60" t="n"/>
      <c r="U122" s="60" t="n"/>
      <c r="V122" s="60" t="n"/>
      <c r="W122" s="60" t="n"/>
      <c r="X122" s="62" t="n"/>
      <c r="Y122" s="63">
        <f>IF($A122="","",IF(OR($W122&lt;&gt;"Yes",$X122="",TODAY()-$X122&gt;90),"At Risk","Not At Risk"))</f>
        <v/>
      </c>
      <c r="Z122" s="61" t="n"/>
    </row>
    <row r="123" ht="15" customHeight="1" s="39">
      <c r="A123" s="60" t="n"/>
      <c r="B123" s="60" t="n"/>
      <c r="C123" s="60" t="n"/>
      <c r="D123" s="60" t="n"/>
      <c r="E123" s="60" t="n"/>
      <c r="F123" s="61" t="n"/>
      <c r="G123" s="60" t="n"/>
      <c r="H123" s="60" t="n"/>
      <c r="I123" s="60" t="n"/>
      <c r="J123" s="61" t="n"/>
      <c r="K123" s="60" t="n"/>
      <c r="L123" s="60" t="n"/>
      <c r="M123" s="60" t="n"/>
      <c r="N123" s="60" t="n"/>
      <c r="O123" s="61" t="n"/>
      <c r="P123" s="60" t="n"/>
      <c r="Q123" s="60" t="n"/>
      <c r="R123" s="60" t="n"/>
      <c r="S123" s="60" t="n"/>
      <c r="T123" s="60" t="n"/>
      <c r="U123" s="60" t="n"/>
      <c r="V123" s="60" t="n"/>
      <c r="W123" s="60" t="n"/>
      <c r="X123" s="62" t="n"/>
      <c r="Y123" s="63">
        <f>IF($A123="","",IF(OR($W123&lt;&gt;"Yes",$X123="",TODAY()-$X123&gt;90),"At Risk","Not At Risk"))</f>
        <v/>
      </c>
      <c r="Z123" s="61" t="n"/>
    </row>
    <row r="124" ht="15" customHeight="1" s="39">
      <c r="A124" s="60" t="n"/>
      <c r="B124" s="60" t="n"/>
      <c r="C124" s="60" t="n"/>
      <c r="D124" s="60" t="n"/>
      <c r="E124" s="60" t="n"/>
      <c r="F124" s="61" t="n"/>
      <c r="G124" s="60" t="n"/>
      <c r="H124" s="60" t="n"/>
      <c r="I124" s="60" t="n"/>
      <c r="J124" s="61" t="n"/>
      <c r="K124" s="60" t="n"/>
      <c r="L124" s="60" t="n"/>
      <c r="M124" s="60" t="n"/>
      <c r="N124" s="60" t="n"/>
      <c r="O124" s="61" t="n"/>
      <c r="P124" s="60" t="n"/>
      <c r="Q124" s="60" t="n"/>
      <c r="R124" s="60" t="n"/>
      <c r="S124" s="60" t="n"/>
      <c r="T124" s="60" t="n"/>
      <c r="U124" s="60" t="n"/>
      <c r="V124" s="60" t="n"/>
      <c r="W124" s="60" t="n"/>
      <c r="X124" s="62" t="n"/>
      <c r="Y124" s="63">
        <f>IF($A124="","",IF(OR($W124&lt;&gt;"Yes",$X124="",TODAY()-$X124&gt;90),"At Risk","Not At Risk"))</f>
        <v/>
      </c>
      <c r="Z124" s="61" t="n"/>
    </row>
    <row r="125" ht="15" customHeight="1" s="39">
      <c r="A125" s="60" t="n"/>
      <c r="B125" s="60" t="n"/>
      <c r="C125" s="60" t="n"/>
      <c r="D125" s="60" t="n"/>
      <c r="E125" s="60" t="n"/>
      <c r="F125" s="61" t="n"/>
      <c r="G125" s="60" t="n"/>
      <c r="H125" s="60" t="n"/>
      <c r="I125" s="60" t="n"/>
      <c r="J125" s="61" t="n"/>
      <c r="K125" s="60" t="n"/>
      <c r="L125" s="60" t="n"/>
      <c r="M125" s="60" t="n"/>
      <c r="N125" s="60" t="n"/>
      <c r="O125" s="61" t="n"/>
      <c r="P125" s="60" t="n"/>
      <c r="Q125" s="60" t="n"/>
      <c r="R125" s="60" t="n"/>
      <c r="S125" s="60" t="n"/>
      <c r="T125" s="60" t="n"/>
      <c r="U125" s="60" t="n"/>
      <c r="V125" s="60" t="n"/>
      <c r="W125" s="60" t="n"/>
      <c r="X125" s="62" t="n"/>
      <c r="Y125" s="63">
        <f>IF($A125="","",IF(OR($W125&lt;&gt;"Yes",$X125="",TODAY()-$X125&gt;90),"At Risk","Not At Risk"))</f>
        <v/>
      </c>
      <c r="Z125" s="61" t="n"/>
    </row>
    <row r="126" ht="15" customHeight="1" s="39">
      <c r="A126" s="60" t="n"/>
      <c r="B126" s="60" t="n"/>
      <c r="C126" s="60" t="n"/>
      <c r="D126" s="60" t="n"/>
      <c r="E126" s="60" t="n"/>
      <c r="F126" s="61" t="n"/>
      <c r="G126" s="60" t="n"/>
      <c r="H126" s="60" t="n"/>
      <c r="I126" s="60" t="n"/>
      <c r="J126" s="61" t="n"/>
      <c r="K126" s="60" t="n"/>
      <c r="L126" s="60" t="n"/>
      <c r="M126" s="60" t="n"/>
      <c r="N126" s="60" t="n"/>
      <c r="O126" s="61" t="n"/>
      <c r="P126" s="60" t="n"/>
      <c r="Q126" s="60" t="n"/>
      <c r="R126" s="60" t="n"/>
      <c r="S126" s="60" t="n"/>
      <c r="T126" s="60" t="n"/>
      <c r="U126" s="60" t="n"/>
      <c r="V126" s="60" t="n"/>
      <c r="W126" s="60" t="n"/>
      <c r="X126" s="62" t="n"/>
      <c r="Y126" s="63">
        <f>IF($A126="","",IF(OR($W126&lt;&gt;"Yes",$X126="",TODAY()-$X126&gt;90),"At Risk","Not At Risk"))</f>
        <v/>
      </c>
      <c r="Z126" s="61" t="n"/>
    </row>
    <row r="127" ht="15" customHeight="1" s="39">
      <c r="A127" s="60" t="n"/>
      <c r="B127" s="60" t="n"/>
      <c r="C127" s="60" t="n"/>
      <c r="D127" s="60" t="n"/>
      <c r="E127" s="60" t="n"/>
      <c r="F127" s="61" t="n"/>
      <c r="G127" s="60" t="n"/>
      <c r="H127" s="60" t="n"/>
      <c r="I127" s="60" t="n"/>
      <c r="J127" s="61" t="n"/>
      <c r="K127" s="60" t="n"/>
      <c r="L127" s="60" t="n"/>
      <c r="M127" s="60" t="n"/>
      <c r="N127" s="60" t="n"/>
      <c r="O127" s="61" t="n"/>
      <c r="P127" s="60" t="n"/>
      <c r="Q127" s="60" t="n"/>
      <c r="R127" s="60" t="n"/>
      <c r="S127" s="60" t="n"/>
      <c r="T127" s="60" t="n"/>
      <c r="U127" s="60" t="n"/>
      <c r="V127" s="60" t="n"/>
      <c r="W127" s="60" t="n"/>
      <c r="X127" s="62" t="n"/>
      <c r="Y127" s="63">
        <f>IF($A127="","",IF(OR($W127&lt;&gt;"Yes",$X127="",TODAY()-$X127&gt;90),"At Risk","Not At Risk"))</f>
        <v/>
      </c>
      <c r="Z127" s="61" t="n"/>
    </row>
    <row r="128" ht="15" customHeight="1" s="39">
      <c r="A128" s="60" t="n"/>
      <c r="B128" s="60" t="n"/>
      <c r="C128" s="60" t="n"/>
      <c r="D128" s="60" t="n"/>
      <c r="E128" s="60" t="n"/>
      <c r="F128" s="61" t="n"/>
      <c r="G128" s="60" t="n"/>
      <c r="H128" s="60" t="n"/>
      <c r="I128" s="60" t="n"/>
      <c r="J128" s="61" t="n"/>
      <c r="K128" s="60" t="n"/>
      <c r="L128" s="60" t="n"/>
      <c r="M128" s="60" t="n"/>
      <c r="N128" s="60" t="n"/>
      <c r="O128" s="61" t="n"/>
      <c r="P128" s="60" t="n"/>
      <c r="Q128" s="60" t="n"/>
      <c r="R128" s="60" t="n"/>
      <c r="S128" s="60" t="n"/>
      <c r="T128" s="60" t="n"/>
      <c r="U128" s="60" t="n"/>
      <c r="V128" s="60" t="n"/>
      <c r="W128" s="60" t="n"/>
      <c r="X128" s="62" t="n"/>
      <c r="Y128" s="63">
        <f>IF($A128="","",IF(OR($W128&lt;&gt;"Yes",$X128="",TODAY()-$X128&gt;90),"At Risk","Not At Risk"))</f>
        <v/>
      </c>
      <c r="Z128" s="61" t="n"/>
    </row>
    <row r="129" ht="15" customHeight="1" s="39">
      <c r="A129" s="60" t="n"/>
      <c r="B129" s="60" t="n"/>
      <c r="C129" s="60" t="n"/>
      <c r="D129" s="60" t="n"/>
      <c r="E129" s="60" t="n"/>
      <c r="F129" s="61" t="n"/>
      <c r="G129" s="60" t="n"/>
      <c r="H129" s="60" t="n"/>
      <c r="I129" s="60" t="n"/>
      <c r="J129" s="61" t="n"/>
      <c r="K129" s="60" t="n"/>
      <c r="L129" s="60" t="n"/>
      <c r="M129" s="60" t="n"/>
      <c r="N129" s="60" t="n"/>
      <c r="O129" s="61" t="n"/>
      <c r="P129" s="60" t="n"/>
      <c r="Q129" s="60" t="n"/>
      <c r="R129" s="60" t="n"/>
      <c r="S129" s="60" t="n"/>
      <c r="T129" s="60" t="n"/>
      <c r="U129" s="60" t="n"/>
      <c r="V129" s="60" t="n"/>
      <c r="W129" s="60" t="n"/>
      <c r="X129" s="62" t="n"/>
      <c r="Y129" s="63">
        <f>IF($A129="","",IF(OR($W129&lt;&gt;"Yes",$X129="",TODAY()-$X129&gt;90),"At Risk","Not At Risk"))</f>
        <v/>
      </c>
      <c r="Z129" s="61" t="n"/>
    </row>
    <row r="130" ht="15" customHeight="1" s="39">
      <c r="A130" s="60" t="n"/>
      <c r="B130" s="60" t="n"/>
      <c r="C130" s="60" t="n"/>
      <c r="D130" s="60" t="n"/>
      <c r="E130" s="60" t="n"/>
      <c r="F130" s="61" t="n"/>
      <c r="G130" s="60" t="n"/>
      <c r="H130" s="60" t="n"/>
      <c r="I130" s="60" t="n"/>
      <c r="J130" s="61" t="n"/>
      <c r="K130" s="60" t="n"/>
      <c r="L130" s="60" t="n"/>
      <c r="M130" s="60" t="n"/>
      <c r="N130" s="60" t="n"/>
      <c r="O130" s="61" t="n"/>
      <c r="P130" s="60" t="n"/>
      <c r="Q130" s="60" t="n"/>
      <c r="R130" s="60" t="n"/>
      <c r="S130" s="60" t="n"/>
      <c r="T130" s="60" t="n"/>
      <c r="U130" s="60" t="n"/>
      <c r="V130" s="60" t="n"/>
      <c r="W130" s="60" t="n"/>
      <c r="X130" s="62" t="n"/>
      <c r="Y130" s="63">
        <f>IF($A130="","",IF(OR($W130&lt;&gt;"Yes",$X130="",TODAY()-$X130&gt;90),"At Risk","Not At Risk"))</f>
        <v/>
      </c>
      <c r="Z130" s="61" t="n"/>
    </row>
    <row r="131" ht="15" customHeight="1" s="39">
      <c r="A131" s="60" t="n"/>
      <c r="B131" s="60" t="n"/>
      <c r="C131" s="60" t="n"/>
      <c r="D131" s="60" t="n"/>
      <c r="E131" s="60" t="n"/>
      <c r="F131" s="61" t="n"/>
      <c r="G131" s="60" t="n"/>
      <c r="H131" s="60" t="n"/>
      <c r="I131" s="60" t="n"/>
      <c r="J131" s="61" t="n"/>
      <c r="K131" s="60" t="n"/>
      <c r="L131" s="60" t="n"/>
      <c r="M131" s="60" t="n"/>
      <c r="N131" s="60" t="n"/>
      <c r="O131" s="61" t="n"/>
      <c r="P131" s="60" t="n"/>
      <c r="Q131" s="60" t="n"/>
      <c r="R131" s="60" t="n"/>
      <c r="S131" s="60" t="n"/>
      <c r="T131" s="60" t="n"/>
      <c r="U131" s="60" t="n"/>
      <c r="V131" s="60" t="n"/>
      <c r="W131" s="60" t="n"/>
      <c r="X131" s="62" t="n"/>
      <c r="Y131" s="63">
        <f>IF($A131="","",IF(OR($W131&lt;&gt;"Yes",$X131="",TODAY()-$X131&gt;90),"At Risk","Not At Risk"))</f>
        <v/>
      </c>
      <c r="Z131" s="61" t="n"/>
    </row>
    <row r="132" ht="15" customHeight="1" s="39">
      <c r="A132" s="60" t="n"/>
      <c r="B132" s="60" t="n"/>
      <c r="C132" s="60" t="n"/>
      <c r="D132" s="60" t="n"/>
      <c r="E132" s="60" t="n"/>
      <c r="F132" s="61" t="n"/>
      <c r="G132" s="60" t="n"/>
      <c r="H132" s="60" t="n"/>
      <c r="I132" s="60" t="n"/>
      <c r="J132" s="61" t="n"/>
      <c r="K132" s="60" t="n"/>
      <c r="L132" s="60" t="n"/>
      <c r="M132" s="60" t="n"/>
      <c r="N132" s="60" t="n"/>
      <c r="O132" s="61" t="n"/>
      <c r="P132" s="60" t="n"/>
      <c r="Q132" s="60" t="n"/>
      <c r="R132" s="60" t="n"/>
      <c r="S132" s="60" t="n"/>
      <c r="T132" s="60" t="n"/>
      <c r="U132" s="60" t="n"/>
      <c r="V132" s="60" t="n"/>
      <c r="W132" s="60" t="n"/>
      <c r="X132" s="62" t="n"/>
      <c r="Y132" s="63">
        <f>IF($A132="","",IF(OR($W132&lt;&gt;"Yes",$X132="",TODAY()-$X132&gt;90),"At Risk","Not At Risk"))</f>
        <v/>
      </c>
      <c r="Z132" s="61" t="n"/>
    </row>
    <row r="133" ht="15" customHeight="1" s="39">
      <c r="A133" s="60" t="n"/>
      <c r="B133" s="60" t="n"/>
      <c r="C133" s="60" t="n"/>
      <c r="D133" s="60" t="n"/>
      <c r="E133" s="60" t="n"/>
      <c r="F133" s="61" t="n"/>
      <c r="G133" s="60" t="n"/>
      <c r="H133" s="60" t="n"/>
      <c r="I133" s="60" t="n"/>
      <c r="J133" s="61" t="n"/>
      <c r="K133" s="60" t="n"/>
      <c r="L133" s="60" t="n"/>
      <c r="M133" s="60" t="n"/>
      <c r="N133" s="60" t="n"/>
      <c r="O133" s="61" t="n"/>
      <c r="P133" s="60" t="n"/>
      <c r="Q133" s="60" t="n"/>
      <c r="R133" s="60" t="n"/>
      <c r="S133" s="60" t="n"/>
      <c r="T133" s="60" t="n"/>
      <c r="U133" s="60" t="n"/>
      <c r="V133" s="60" t="n"/>
      <c r="W133" s="60" t="n"/>
      <c r="X133" s="62" t="n"/>
      <c r="Y133" s="63">
        <f>IF($A133="","",IF(OR($W133&lt;&gt;"Yes",$X133="",TODAY()-$X133&gt;90),"At Risk","Not At Risk"))</f>
        <v/>
      </c>
      <c r="Z133" s="61" t="n"/>
    </row>
    <row r="134" ht="15" customHeight="1" s="39">
      <c r="A134" s="60" t="n"/>
      <c r="B134" s="60" t="n"/>
      <c r="C134" s="60" t="n"/>
      <c r="D134" s="60" t="n"/>
      <c r="E134" s="60" t="n"/>
      <c r="F134" s="61" t="n"/>
      <c r="G134" s="60" t="n"/>
      <c r="H134" s="60" t="n"/>
      <c r="I134" s="60" t="n"/>
      <c r="J134" s="61" t="n"/>
      <c r="K134" s="60" t="n"/>
      <c r="L134" s="60" t="n"/>
      <c r="M134" s="60" t="n"/>
      <c r="N134" s="60" t="n"/>
      <c r="O134" s="61" t="n"/>
      <c r="P134" s="60" t="n"/>
      <c r="Q134" s="60" t="n"/>
      <c r="R134" s="60" t="n"/>
      <c r="S134" s="60" t="n"/>
      <c r="T134" s="60" t="n"/>
      <c r="U134" s="60" t="n"/>
      <c r="V134" s="60" t="n"/>
      <c r="W134" s="60" t="n"/>
      <c r="X134" s="62" t="n"/>
      <c r="Y134" s="63">
        <f>IF($A134="","",IF(OR($W134&lt;&gt;"Yes",$X134="",TODAY()-$X134&gt;90),"At Risk","Not At Risk"))</f>
        <v/>
      </c>
      <c r="Z134" s="61" t="n"/>
    </row>
    <row r="135" ht="15" customHeight="1" s="39">
      <c r="A135" s="60" t="n"/>
      <c r="B135" s="60" t="n"/>
      <c r="C135" s="60" t="n"/>
      <c r="D135" s="60" t="n"/>
      <c r="E135" s="60" t="n"/>
      <c r="F135" s="61" t="n"/>
      <c r="G135" s="60" t="n"/>
      <c r="H135" s="60" t="n"/>
      <c r="I135" s="60" t="n"/>
      <c r="J135" s="61" t="n"/>
      <c r="K135" s="60" t="n"/>
      <c r="L135" s="60" t="n"/>
      <c r="M135" s="60" t="n"/>
      <c r="N135" s="60" t="n"/>
      <c r="O135" s="61" t="n"/>
      <c r="P135" s="60" t="n"/>
      <c r="Q135" s="60" t="n"/>
      <c r="R135" s="60" t="n"/>
      <c r="S135" s="60" t="n"/>
      <c r="T135" s="60" t="n"/>
      <c r="U135" s="60" t="n"/>
      <c r="V135" s="60" t="n"/>
      <c r="W135" s="60" t="n"/>
      <c r="X135" s="62" t="n"/>
      <c r="Y135" s="63">
        <f>IF($A135="","",IF(OR($W135&lt;&gt;"Yes",$X135="",TODAY()-$X135&gt;90),"At Risk","Not At Risk"))</f>
        <v/>
      </c>
      <c r="Z135" s="61" t="n"/>
    </row>
    <row r="136" ht="15" customHeight="1" s="39">
      <c r="A136" s="60" t="n"/>
      <c r="B136" s="60" t="n"/>
      <c r="C136" s="60" t="n"/>
      <c r="D136" s="60" t="n"/>
      <c r="E136" s="60" t="n"/>
      <c r="F136" s="61" t="n"/>
      <c r="G136" s="60" t="n"/>
      <c r="H136" s="60" t="n"/>
      <c r="I136" s="60" t="n"/>
      <c r="J136" s="61" t="n"/>
      <c r="K136" s="60" t="n"/>
      <c r="L136" s="60" t="n"/>
      <c r="M136" s="60" t="n"/>
      <c r="N136" s="60" t="n"/>
      <c r="O136" s="61" t="n"/>
      <c r="P136" s="60" t="n"/>
      <c r="Q136" s="60" t="n"/>
      <c r="R136" s="60" t="n"/>
      <c r="S136" s="60" t="n"/>
      <c r="T136" s="60" t="n"/>
      <c r="U136" s="60" t="n"/>
      <c r="V136" s="60" t="n"/>
      <c r="W136" s="60" t="n"/>
      <c r="X136" s="62" t="n"/>
      <c r="Y136" s="63">
        <f>IF($A136="","",IF(OR($W136&lt;&gt;"Yes",$X136="",TODAY()-$X136&gt;90),"At Risk","Not At Risk"))</f>
        <v/>
      </c>
      <c r="Z136" s="61" t="n"/>
    </row>
    <row r="137" ht="15" customHeight="1" s="39">
      <c r="A137" s="60" t="n"/>
      <c r="B137" s="60" t="n"/>
      <c r="C137" s="60" t="n"/>
      <c r="D137" s="60" t="n"/>
      <c r="E137" s="60" t="n"/>
      <c r="F137" s="61" t="n"/>
      <c r="G137" s="60" t="n"/>
      <c r="H137" s="60" t="n"/>
      <c r="I137" s="60" t="n"/>
      <c r="J137" s="61" t="n"/>
      <c r="K137" s="60" t="n"/>
      <c r="L137" s="60" t="n"/>
      <c r="M137" s="60" t="n"/>
      <c r="N137" s="60" t="n"/>
      <c r="O137" s="61" t="n"/>
      <c r="P137" s="60" t="n"/>
      <c r="Q137" s="60" t="n"/>
      <c r="R137" s="60" t="n"/>
      <c r="S137" s="60" t="n"/>
      <c r="T137" s="60" t="n"/>
      <c r="U137" s="60" t="n"/>
      <c r="V137" s="60" t="n"/>
      <c r="W137" s="60" t="n"/>
      <c r="X137" s="62" t="n"/>
      <c r="Y137" s="63">
        <f>IF($A137="","",IF(OR($W137&lt;&gt;"Yes",$X137="",TODAY()-$X137&gt;90),"At Risk","Not At Risk"))</f>
        <v/>
      </c>
      <c r="Z137" s="61" t="n"/>
    </row>
    <row r="138" ht="15" customHeight="1" s="39">
      <c r="A138" s="60" t="n"/>
      <c r="B138" s="60" t="n"/>
      <c r="C138" s="60" t="n"/>
      <c r="D138" s="60" t="n"/>
      <c r="E138" s="60" t="n"/>
      <c r="F138" s="61" t="n"/>
      <c r="G138" s="60" t="n"/>
      <c r="H138" s="60" t="n"/>
      <c r="I138" s="60" t="n"/>
      <c r="J138" s="61" t="n"/>
      <c r="K138" s="60" t="n"/>
      <c r="L138" s="60" t="n"/>
      <c r="M138" s="60" t="n"/>
      <c r="N138" s="60" t="n"/>
      <c r="O138" s="61" t="n"/>
      <c r="P138" s="60" t="n"/>
      <c r="Q138" s="60" t="n"/>
      <c r="R138" s="60" t="n"/>
      <c r="S138" s="60" t="n"/>
      <c r="T138" s="60" t="n"/>
      <c r="U138" s="60" t="n"/>
      <c r="V138" s="60" t="n"/>
      <c r="W138" s="60" t="n"/>
      <c r="X138" s="62" t="n"/>
      <c r="Y138" s="63">
        <f>IF($A138="","",IF(OR($W138&lt;&gt;"Yes",$X138="",TODAY()-$X138&gt;90),"At Risk","Not At Risk"))</f>
        <v/>
      </c>
      <c r="Z138" s="61" t="n"/>
    </row>
    <row r="139" ht="15" customHeight="1" s="39">
      <c r="A139" s="60" t="n"/>
      <c r="B139" s="60" t="n"/>
      <c r="C139" s="60" t="n"/>
      <c r="D139" s="60" t="n"/>
      <c r="E139" s="60" t="n"/>
      <c r="F139" s="61" t="n"/>
      <c r="G139" s="60" t="n"/>
      <c r="H139" s="60" t="n"/>
      <c r="I139" s="60" t="n"/>
      <c r="J139" s="61" t="n"/>
      <c r="K139" s="60" t="n"/>
      <c r="L139" s="60" t="n"/>
      <c r="M139" s="60" t="n"/>
      <c r="N139" s="60" t="n"/>
      <c r="O139" s="61" t="n"/>
      <c r="P139" s="60" t="n"/>
      <c r="Q139" s="60" t="n"/>
      <c r="R139" s="60" t="n"/>
      <c r="S139" s="60" t="n"/>
      <c r="T139" s="60" t="n"/>
      <c r="U139" s="60" t="n"/>
      <c r="V139" s="60" t="n"/>
      <c r="W139" s="60" t="n"/>
      <c r="X139" s="62" t="n"/>
      <c r="Y139" s="63">
        <f>IF($A139="","",IF(OR($W139&lt;&gt;"Yes",$X139="",TODAY()-$X139&gt;90),"At Risk","Not At Risk"))</f>
        <v/>
      </c>
      <c r="Z139" s="61" t="n"/>
    </row>
    <row r="140" ht="15" customHeight="1" s="39">
      <c r="A140" s="60" t="n"/>
      <c r="B140" s="60" t="n"/>
      <c r="C140" s="60" t="n"/>
      <c r="D140" s="60" t="n"/>
      <c r="E140" s="60" t="n"/>
      <c r="F140" s="61" t="n"/>
      <c r="G140" s="60" t="n"/>
      <c r="H140" s="60" t="n"/>
      <c r="I140" s="60" t="n"/>
      <c r="J140" s="61" t="n"/>
      <c r="K140" s="60" t="n"/>
      <c r="L140" s="60" t="n"/>
      <c r="M140" s="60" t="n"/>
      <c r="N140" s="60" t="n"/>
      <c r="O140" s="61" t="n"/>
      <c r="P140" s="60" t="n"/>
      <c r="Q140" s="60" t="n"/>
      <c r="R140" s="60" t="n"/>
      <c r="S140" s="60" t="n"/>
      <c r="T140" s="60" t="n"/>
      <c r="U140" s="60" t="n"/>
      <c r="V140" s="60" t="n"/>
      <c r="W140" s="60" t="n"/>
      <c r="X140" s="62" t="n"/>
      <c r="Y140" s="63">
        <f>IF($A140="","",IF(OR($W140&lt;&gt;"Yes",$X140="",TODAY()-$X140&gt;90),"At Risk","Not At Risk"))</f>
        <v/>
      </c>
      <c r="Z140" s="61" t="n"/>
    </row>
    <row r="141" ht="15" customHeight="1" s="39">
      <c r="A141" s="60" t="n"/>
      <c r="B141" s="60" t="n"/>
      <c r="C141" s="60" t="n"/>
      <c r="D141" s="60" t="n"/>
      <c r="E141" s="60" t="n"/>
      <c r="F141" s="61" t="n"/>
      <c r="G141" s="60" t="n"/>
      <c r="H141" s="60" t="n"/>
      <c r="I141" s="60" t="n"/>
      <c r="J141" s="61" t="n"/>
      <c r="K141" s="60" t="n"/>
      <c r="L141" s="60" t="n"/>
      <c r="M141" s="60" t="n"/>
      <c r="N141" s="60" t="n"/>
      <c r="O141" s="61" t="n"/>
      <c r="P141" s="60" t="n"/>
      <c r="Q141" s="60" t="n"/>
      <c r="R141" s="60" t="n"/>
      <c r="S141" s="60" t="n"/>
      <c r="T141" s="60" t="n"/>
      <c r="U141" s="60" t="n"/>
      <c r="V141" s="60" t="n"/>
      <c r="W141" s="60" t="n"/>
      <c r="X141" s="62" t="n"/>
      <c r="Y141" s="63">
        <f>IF($A141="","",IF(OR($W141&lt;&gt;"Yes",$X141="",TODAY()-$X141&gt;90),"At Risk","Not At Risk"))</f>
        <v/>
      </c>
      <c r="Z141" s="61" t="n"/>
    </row>
    <row r="142" ht="15" customHeight="1" s="39">
      <c r="A142" s="60" t="n"/>
      <c r="B142" s="60" t="n"/>
      <c r="C142" s="60" t="n"/>
      <c r="D142" s="60" t="n"/>
      <c r="E142" s="60" t="n"/>
      <c r="F142" s="61" t="n"/>
      <c r="G142" s="60" t="n"/>
      <c r="H142" s="60" t="n"/>
      <c r="I142" s="60" t="n"/>
      <c r="J142" s="61" t="n"/>
      <c r="K142" s="60" t="n"/>
      <c r="L142" s="60" t="n"/>
      <c r="M142" s="60" t="n"/>
      <c r="N142" s="60" t="n"/>
      <c r="O142" s="61" t="n"/>
      <c r="P142" s="60" t="n"/>
      <c r="Q142" s="60" t="n"/>
      <c r="R142" s="60" t="n"/>
      <c r="S142" s="60" t="n"/>
      <c r="T142" s="60" t="n"/>
      <c r="U142" s="60" t="n"/>
      <c r="V142" s="60" t="n"/>
      <c r="W142" s="60" t="n"/>
      <c r="X142" s="62" t="n"/>
      <c r="Y142" s="63">
        <f>IF($A142="","",IF(OR($W142&lt;&gt;"Yes",$X142="",TODAY()-$X142&gt;90),"At Risk","Not At Risk"))</f>
        <v/>
      </c>
      <c r="Z142" s="61" t="n"/>
    </row>
    <row r="143" ht="15" customHeight="1" s="39">
      <c r="A143" s="60" t="n"/>
      <c r="B143" s="60" t="n"/>
      <c r="C143" s="60" t="n"/>
      <c r="D143" s="60" t="n"/>
      <c r="E143" s="60" t="n"/>
      <c r="F143" s="61" t="n"/>
      <c r="G143" s="60" t="n"/>
      <c r="H143" s="60" t="n"/>
      <c r="I143" s="60" t="n"/>
      <c r="J143" s="61" t="n"/>
      <c r="K143" s="60" t="n"/>
      <c r="L143" s="60" t="n"/>
      <c r="M143" s="60" t="n"/>
      <c r="N143" s="60" t="n"/>
      <c r="O143" s="61" t="n"/>
      <c r="P143" s="60" t="n"/>
      <c r="Q143" s="60" t="n"/>
      <c r="R143" s="60" t="n"/>
      <c r="S143" s="60" t="n"/>
      <c r="T143" s="60" t="n"/>
      <c r="U143" s="60" t="n"/>
      <c r="V143" s="60" t="n"/>
      <c r="W143" s="60" t="n"/>
      <c r="X143" s="62" t="n"/>
      <c r="Y143" s="63">
        <f>IF($A143="","",IF(OR($W143&lt;&gt;"Yes",$X143="",TODAY()-$X143&gt;90),"At Risk","Not At Risk"))</f>
        <v/>
      </c>
      <c r="Z143" s="61" t="n"/>
    </row>
    <row r="144" ht="15" customHeight="1" s="39">
      <c r="A144" s="60" t="n"/>
      <c r="B144" s="60" t="n"/>
      <c r="C144" s="60" t="n"/>
      <c r="D144" s="60" t="n"/>
      <c r="E144" s="60" t="n"/>
      <c r="F144" s="61" t="n"/>
      <c r="G144" s="60" t="n"/>
      <c r="H144" s="60" t="n"/>
      <c r="I144" s="60" t="n"/>
      <c r="J144" s="61" t="n"/>
      <c r="K144" s="60" t="n"/>
      <c r="L144" s="60" t="n"/>
      <c r="M144" s="60" t="n"/>
      <c r="N144" s="60" t="n"/>
      <c r="O144" s="61" t="n"/>
      <c r="P144" s="60" t="n"/>
      <c r="Q144" s="60" t="n"/>
      <c r="R144" s="60" t="n"/>
      <c r="S144" s="60" t="n"/>
      <c r="T144" s="60" t="n"/>
      <c r="U144" s="60" t="n"/>
      <c r="V144" s="60" t="n"/>
      <c r="W144" s="60" t="n"/>
      <c r="X144" s="62" t="n"/>
      <c r="Y144" s="63">
        <f>IF($A144="","",IF(OR($W144&lt;&gt;"Yes",$X144="",TODAY()-$X144&gt;90),"At Risk","Not At Risk"))</f>
        <v/>
      </c>
      <c r="Z144" s="61" t="n"/>
    </row>
    <row r="145" ht="15" customHeight="1" s="39">
      <c r="A145" s="60" t="n"/>
      <c r="B145" s="60" t="n"/>
      <c r="C145" s="60" t="n"/>
      <c r="D145" s="60" t="n"/>
      <c r="E145" s="60" t="n"/>
      <c r="F145" s="61" t="n"/>
      <c r="G145" s="60" t="n"/>
      <c r="H145" s="60" t="n"/>
      <c r="I145" s="60" t="n"/>
      <c r="J145" s="61" t="n"/>
      <c r="K145" s="60" t="n"/>
      <c r="L145" s="60" t="n"/>
      <c r="M145" s="60" t="n"/>
      <c r="N145" s="60" t="n"/>
      <c r="O145" s="61" t="n"/>
      <c r="P145" s="60" t="n"/>
      <c r="Q145" s="60" t="n"/>
      <c r="R145" s="60" t="n"/>
      <c r="S145" s="60" t="n"/>
      <c r="T145" s="60" t="n"/>
      <c r="U145" s="60" t="n"/>
      <c r="V145" s="60" t="n"/>
      <c r="W145" s="60" t="n"/>
      <c r="X145" s="62" t="n"/>
      <c r="Y145" s="63">
        <f>IF($A145="","",IF(OR($W145&lt;&gt;"Yes",$X145="",TODAY()-$X145&gt;90),"At Risk","Not At Risk"))</f>
        <v/>
      </c>
      <c r="Z145" s="61" t="n"/>
    </row>
    <row r="146" ht="15" customHeight="1" s="39">
      <c r="A146" s="60" t="n"/>
      <c r="B146" s="60" t="n"/>
      <c r="C146" s="60" t="n"/>
      <c r="D146" s="60" t="n"/>
      <c r="E146" s="60" t="n"/>
      <c r="F146" s="61" t="n"/>
      <c r="G146" s="60" t="n"/>
      <c r="H146" s="60" t="n"/>
      <c r="I146" s="60" t="n"/>
      <c r="J146" s="61" t="n"/>
      <c r="K146" s="60" t="n"/>
      <c r="L146" s="60" t="n"/>
      <c r="M146" s="60" t="n"/>
      <c r="N146" s="60" t="n"/>
      <c r="O146" s="61" t="n"/>
      <c r="P146" s="60" t="n"/>
      <c r="Q146" s="60" t="n"/>
      <c r="R146" s="60" t="n"/>
      <c r="S146" s="60" t="n"/>
      <c r="T146" s="60" t="n"/>
      <c r="U146" s="60" t="n"/>
      <c r="V146" s="60" t="n"/>
      <c r="W146" s="60" t="n"/>
      <c r="X146" s="62" t="n"/>
      <c r="Y146" s="63">
        <f>IF($A146="","",IF(OR($W146&lt;&gt;"Yes",$X146="",TODAY()-$X146&gt;90),"At Risk","Not At Risk"))</f>
        <v/>
      </c>
      <c r="Z146" s="61" t="n"/>
    </row>
    <row r="147" ht="15" customHeight="1" s="39">
      <c r="A147" s="60" t="n"/>
      <c r="B147" s="60" t="n"/>
      <c r="C147" s="60" t="n"/>
      <c r="D147" s="60" t="n"/>
      <c r="E147" s="60" t="n"/>
      <c r="F147" s="61" t="n"/>
      <c r="G147" s="60" t="n"/>
      <c r="H147" s="60" t="n"/>
      <c r="I147" s="60" t="n"/>
      <c r="J147" s="61" t="n"/>
      <c r="K147" s="60" t="n"/>
      <c r="L147" s="60" t="n"/>
      <c r="M147" s="60" t="n"/>
      <c r="N147" s="60" t="n"/>
      <c r="O147" s="61" t="n"/>
      <c r="P147" s="60" t="n"/>
      <c r="Q147" s="60" t="n"/>
      <c r="R147" s="60" t="n"/>
      <c r="S147" s="60" t="n"/>
      <c r="T147" s="60" t="n"/>
      <c r="U147" s="60" t="n"/>
      <c r="V147" s="60" t="n"/>
      <c r="W147" s="60" t="n"/>
      <c r="X147" s="62" t="n"/>
      <c r="Y147" s="63">
        <f>IF($A147="","",IF(OR($W147&lt;&gt;"Yes",$X147="",TODAY()-$X147&gt;90),"At Risk","Not At Risk"))</f>
        <v/>
      </c>
      <c r="Z147" s="61" t="n"/>
    </row>
    <row r="148" ht="15" customHeight="1" s="39">
      <c r="A148" s="60" t="n"/>
      <c r="B148" s="60" t="n"/>
      <c r="C148" s="60" t="n"/>
      <c r="D148" s="60" t="n"/>
      <c r="E148" s="60" t="n"/>
      <c r="F148" s="61" t="n"/>
      <c r="G148" s="60" t="n"/>
      <c r="H148" s="60" t="n"/>
      <c r="I148" s="60" t="n"/>
      <c r="J148" s="61" t="n"/>
      <c r="K148" s="60" t="n"/>
      <c r="L148" s="60" t="n"/>
      <c r="M148" s="60" t="n"/>
      <c r="N148" s="60" t="n"/>
      <c r="O148" s="61" t="n"/>
      <c r="P148" s="60" t="n"/>
      <c r="Q148" s="60" t="n"/>
      <c r="R148" s="60" t="n"/>
      <c r="S148" s="60" t="n"/>
      <c r="T148" s="60" t="n"/>
      <c r="U148" s="60" t="n"/>
      <c r="V148" s="60" t="n"/>
      <c r="W148" s="60" t="n"/>
      <c r="X148" s="62" t="n"/>
      <c r="Y148" s="63">
        <f>IF($A148="","",IF(OR($W148&lt;&gt;"Yes",$X148="",TODAY()-$X148&gt;90),"At Risk","Not At Risk"))</f>
        <v/>
      </c>
      <c r="Z148" s="61" t="n"/>
    </row>
    <row r="149" ht="15" customHeight="1" s="39">
      <c r="A149" s="60" t="n"/>
      <c r="B149" s="60" t="n"/>
      <c r="C149" s="60" t="n"/>
      <c r="D149" s="60" t="n"/>
      <c r="E149" s="60" t="n"/>
      <c r="F149" s="61" t="n"/>
      <c r="G149" s="60" t="n"/>
      <c r="H149" s="60" t="n"/>
      <c r="I149" s="60" t="n"/>
      <c r="J149" s="61" t="n"/>
      <c r="K149" s="60" t="n"/>
      <c r="L149" s="60" t="n"/>
      <c r="M149" s="60" t="n"/>
      <c r="N149" s="60" t="n"/>
      <c r="O149" s="61" t="n"/>
      <c r="P149" s="60" t="n"/>
      <c r="Q149" s="60" t="n"/>
      <c r="R149" s="60" t="n"/>
      <c r="S149" s="60" t="n"/>
      <c r="T149" s="60" t="n"/>
      <c r="U149" s="60" t="n"/>
      <c r="V149" s="60" t="n"/>
      <c r="W149" s="60" t="n"/>
      <c r="X149" s="62" t="n"/>
      <c r="Y149" s="63">
        <f>IF($A149="","",IF(OR($W149&lt;&gt;"Yes",$X149="",TODAY()-$X149&gt;90),"At Risk","Not At Risk"))</f>
        <v/>
      </c>
      <c r="Z149" s="61" t="n"/>
    </row>
    <row r="150" ht="15" customHeight="1" s="39">
      <c r="A150" s="60" t="n"/>
      <c r="B150" s="60" t="n"/>
      <c r="C150" s="60" t="n"/>
      <c r="D150" s="60" t="n"/>
      <c r="E150" s="60" t="n"/>
      <c r="F150" s="61" t="n"/>
      <c r="G150" s="60" t="n"/>
      <c r="H150" s="60" t="n"/>
      <c r="I150" s="60" t="n"/>
      <c r="J150" s="61" t="n"/>
      <c r="K150" s="60" t="n"/>
      <c r="L150" s="60" t="n"/>
      <c r="M150" s="60" t="n"/>
      <c r="N150" s="60" t="n"/>
      <c r="O150" s="61" t="n"/>
      <c r="P150" s="60" t="n"/>
      <c r="Q150" s="60" t="n"/>
      <c r="R150" s="60" t="n"/>
      <c r="S150" s="60" t="n"/>
      <c r="T150" s="60" t="n"/>
      <c r="U150" s="60" t="n"/>
      <c r="V150" s="60" t="n"/>
      <c r="W150" s="60" t="n"/>
      <c r="X150" s="62" t="n"/>
      <c r="Y150" s="63">
        <f>IF($A150="","",IF(OR($W150&lt;&gt;"Yes",$X150="",TODAY()-$X150&gt;90),"At Risk","Not At Risk"))</f>
        <v/>
      </c>
      <c r="Z150" s="61" t="n"/>
    </row>
    <row r="151" ht="15" customHeight="1" s="39">
      <c r="A151" s="60" t="n"/>
      <c r="B151" s="60" t="n"/>
      <c r="C151" s="60" t="n"/>
      <c r="D151" s="60" t="n"/>
      <c r="E151" s="60" t="n"/>
      <c r="F151" s="61" t="n"/>
      <c r="G151" s="60" t="n"/>
      <c r="H151" s="60" t="n"/>
      <c r="I151" s="60" t="n"/>
      <c r="J151" s="61" t="n"/>
      <c r="K151" s="60" t="n"/>
      <c r="L151" s="60" t="n"/>
      <c r="M151" s="60" t="n"/>
      <c r="N151" s="60" t="n"/>
      <c r="O151" s="61" t="n"/>
      <c r="P151" s="60" t="n"/>
      <c r="Q151" s="60" t="n"/>
      <c r="R151" s="60" t="n"/>
      <c r="S151" s="60" t="n"/>
      <c r="T151" s="60" t="n"/>
      <c r="U151" s="60" t="n"/>
      <c r="V151" s="60" t="n"/>
      <c r="W151" s="60" t="n"/>
      <c r="X151" s="62" t="n"/>
      <c r="Y151" s="63">
        <f>IF($A151="","",IF(OR($W151&lt;&gt;"Yes",$X151="",TODAY()-$X151&gt;90),"At Risk","Not At Risk"))</f>
        <v/>
      </c>
      <c r="Z151" s="61" t="n"/>
    </row>
    <row r="152" ht="15" customHeight="1" s="39">
      <c r="A152" s="60" t="n"/>
      <c r="B152" s="60" t="n"/>
      <c r="C152" s="60" t="n"/>
      <c r="D152" s="60" t="n"/>
      <c r="E152" s="60" t="n"/>
      <c r="F152" s="61" t="n"/>
      <c r="G152" s="60" t="n"/>
      <c r="H152" s="60" t="n"/>
      <c r="I152" s="60" t="n"/>
      <c r="J152" s="61" t="n"/>
      <c r="K152" s="60" t="n"/>
      <c r="L152" s="60" t="n"/>
      <c r="M152" s="60" t="n"/>
      <c r="N152" s="60" t="n"/>
      <c r="O152" s="61" t="n"/>
      <c r="P152" s="60" t="n"/>
      <c r="Q152" s="60" t="n"/>
      <c r="R152" s="60" t="n"/>
      <c r="S152" s="60" t="n"/>
      <c r="T152" s="60" t="n"/>
      <c r="U152" s="60" t="n"/>
      <c r="V152" s="60" t="n"/>
      <c r="W152" s="60" t="n"/>
      <c r="X152" s="62" t="n"/>
      <c r="Y152" s="63">
        <f>IF($A152="","",IF(OR($W152&lt;&gt;"Yes",$X152="",TODAY()-$X152&gt;90),"At Risk","Not At Risk"))</f>
        <v/>
      </c>
      <c r="Z152" s="61" t="n"/>
    </row>
    <row r="153" ht="15" customHeight="1" s="39">
      <c r="A153" s="60" t="n"/>
      <c r="B153" s="60" t="n"/>
      <c r="C153" s="60" t="n"/>
      <c r="D153" s="60" t="n"/>
      <c r="E153" s="60" t="n"/>
      <c r="F153" s="61" t="n"/>
      <c r="G153" s="60" t="n"/>
      <c r="H153" s="60" t="n"/>
      <c r="I153" s="60" t="n"/>
      <c r="J153" s="61" t="n"/>
      <c r="K153" s="60" t="n"/>
      <c r="L153" s="60" t="n"/>
      <c r="M153" s="60" t="n"/>
      <c r="N153" s="60" t="n"/>
      <c r="O153" s="61" t="n"/>
      <c r="P153" s="60" t="n"/>
      <c r="Q153" s="60" t="n"/>
      <c r="R153" s="60" t="n"/>
      <c r="S153" s="60" t="n"/>
      <c r="T153" s="60" t="n"/>
      <c r="U153" s="60" t="n"/>
      <c r="V153" s="60" t="n"/>
      <c r="W153" s="60" t="n"/>
      <c r="X153" s="62" t="n"/>
      <c r="Y153" s="63">
        <f>IF($A153="","",IF(OR($W153&lt;&gt;"Yes",$X153="",TODAY()-$X153&gt;90),"At Risk","Not At Risk"))</f>
        <v/>
      </c>
      <c r="Z153" s="61" t="n"/>
    </row>
    <row r="154" ht="15" customHeight="1" s="39">
      <c r="A154" s="60" t="n"/>
      <c r="B154" s="60" t="n"/>
      <c r="C154" s="60" t="n"/>
      <c r="D154" s="60" t="n"/>
      <c r="E154" s="60" t="n"/>
      <c r="F154" s="61" t="n"/>
      <c r="G154" s="60" t="n"/>
      <c r="H154" s="60" t="n"/>
      <c r="I154" s="60" t="n"/>
      <c r="J154" s="61" t="n"/>
      <c r="K154" s="60" t="n"/>
      <c r="L154" s="60" t="n"/>
      <c r="M154" s="60" t="n"/>
      <c r="N154" s="60" t="n"/>
      <c r="O154" s="61" t="n"/>
      <c r="P154" s="60" t="n"/>
      <c r="Q154" s="60" t="n"/>
      <c r="R154" s="60" t="n"/>
      <c r="S154" s="60" t="n"/>
      <c r="T154" s="60" t="n"/>
      <c r="U154" s="60" t="n"/>
      <c r="V154" s="60" t="n"/>
      <c r="W154" s="60" t="n"/>
      <c r="X154" s="62" t="n"/>
      <c r="Y154" s="63">
        <f>IF($A154="","",IF(OR($W154&lt;&gt;"Yes",$X154="",TODAY()-$X154&gt;90),"At Risk","Not At Risk"))</f>
        <v/>
      </c>
      <c r="Z154" s="61" t="n"/>
    </row>
    <row r="155" ht="15" customHeight="1" s="39">
      <c r="A155" s="60" t="n"/>
      <c r="B155" s="60" t="n"/>
      <c r="C155" s="60" t="n"/>
      <c r="D155" s="60" t="n"/>
      <c r="E155" s="60" t="n"/>
      <c r="F155" s="61" t="n"/>
      <c r="G155" s="60" t="n"/>
      <c r="H155" s="60" t="n"/>
      <c r="I155" s="60" t="n"/>
      <c r="J155" s="61" t="n"/>
      <c r="K155" s="60" t="n"/>
      <c r="L155" s="60" t="n"/>
      <c r="M155" s="60" t="n"/>
      <c r="N155" s="60" t="n"/>
      <c r="O155" s="61" t="n"/>
      <c r="P155" s="60" t="n"/>
      <c r="Q155" s="60" t="n"/>
      <c r="R155" s="60" t="n"/>
      <c r="S155" s="60" t="n"/>
      <c r="T155" s="60" t="n"/>
      <c r="U155" s="60" t="n"/>
      <c r="V155" s="60" t="n"/>
      <c r="W155" s="60" t="n"/>
      <c r="X155" s="62" t="n"/>
      <c r="Y155" s="63">
        <f>IF($A155="","",IF(OR($W155&lt;&gt;"Yes",$X155="",TODAY()-$X155&gt;90),"At Risk","Not At Risk"))</f>
        <v/>
      </c>
      <c r="Z155" s="61" t="n"/>
    </row>
    <row r="156" ht="15" customHeight="1" s="39">
      <c r="A156" s="60" t="n"/>
      <c r="B156" s="60" t="n"/>
      <c r="C156" s="60" t="n"/>
      <c r="D156" s="60" t="n"/>
      <c r="E156" s="60" t="n"/>
      <c r="F156" s="61" t="n"/>
      <c r="G156" s="60" t="n"/>
      <c r="H156" s="60" t="n"/>
      <c r="I156" s="60" t="n"/>
      <c r="J156" s="61" t="n"/>
      <c r="K156" s="60" t="n"/>
      <c r="L156" s="60" t="n"/>
      <c r="M156" s="60" t="n"/>
      <c r="N156" s="60" t="n"/>
      <c r="O156" s="61" t="n"/>
      <c r="P156" s="60" t="n"/>
      <c r="Q156" s="60" t="n"/>
      <c r="R156" s="60" t="n"/>
      <c r="S156" s="60" t="n"/>
      <c r="T156" s="60" t="n"/>
      <c r="U156" s="60" t="n"/>
      <c r="V156" s="60" t="n"/>
      <c r="W156" s="60" t="n"/>
      <c r="X156" s="62" t="n"/>
      <c r="Y156" s="63">
        <f>IF($A156="","",IF(OR($W156&lt;&gt;"Yes",$X156="",TODAY()-$X156&gt;90),"At Risk","Not At Risk"))</f>
        <v/>
      </c>
      <c r="Z156" s="61" t="n"/>
    </row>
    <row r="157" ht="15" customHeight="1" s="39">
      <c r="A157" s="60" t="n"/>
      <c r="B157" s="60" t="n"/>
      <c r="C157" s="60" t="n"/>
      <c r="D157" s="60" t="n"/>
      <c r="E157" s="60" t="n"/>
      <c r="F157" s="61" t="n"/>
      <c r="G157" s="60" t="n"/>
      <c r="H157" s="60" t="n"/>
      <c r="I157" s="60" t="n"/>
      <c r="J157" s="61" t="n"/>
      <c r="K157" s="60" t="n"/>
      <c r="L157" s="60" t="n"/>
      <c r="M157" s="60" t="n"/>
      <c r="N157" s="60" t="n"/>
      <c r="O157" s="61" t="n"/>
      <c r="P157" s="60" t="n"/>
      <c r="Q157" s="60" t="n"/>
      <c r="R157" s="60" t="n"/>
      <c r="S157" s="60" t="n"/>
      <c r="T157" s="60" t="n"/>
      <c r="U157" s="60" t="n"/>
      <c r="V157" s="60" t="n"/>
      <c r="W157" s="60" t="n"/>
      <c r="X157" s="62" t="n"/>
      <c r="Y157" s="63">
        <f>IF($A157="","",IF(OR($W157&lt;&gt;"Yes",$X157="",TODAY()-$X157&gt;90),"At Risk","Not At Risk"))</f>
        <v/>
      </c>
      <c r="Z157" s="61" t="n"/>
    </row>
    <row r="158" ht="15" customHeight="1" s="39">
      <c r="A158" s="60" t="n"/>
      <c r="B158" s="60" t="n"/>
      <c r="C158" s="60" t="n"/>
      <c r="D158" s="60" t="n"/>
      <c r="E158" s="60" t="n"/>
      <c r="F158" s="61" t="n"/>
      <c r="G158" s="60" t="n"/>
      <c r="H158" s="60" t="n"/>
      <c r="I158" s="60" t="n"/>
      <c r="J158" s="61" t="n"/>
      <c r="K158" s="60" t="n"/>
      <c r="L158" s="60" t="n"/>
      <c r="M158" s="60" t="n"/>
      <c r="N158" s="60" t="n"/>
      <c r="O158" s="61" t="n"/>
      <c r="P158" s="60" t="n"/>
      <c r="Q158" s="60" t="n"/>
      <c r="R158" s="60" t="n"/>
      <c r="S158" s="60" t="n"/>
      <c r="T158" s="60" t="n"/>
      <c r="U158" s="60" t="n"/>
      <c r="V158" s="60" t="n"/>
      <c r="W158" s="60" t="n"/>
      <c r="X158" s="62" t="n"/>
      <c r="Y158" s="63">
        <f>IF($A158="","",IF(OR($W158&lt;&gt;"Yes",$X158="",TODAY()-$X158&gt;90),"At Risk","Not At Risk"))</f>
        <v/>
      </c>
      <c r="Z158" s="61" t="n"/>
    </row>
    <row r="159" ht="15" customHeight="1" s="39">
      <c r="A159" s="60" t="n"/>
      <c r="B159" s="60" t="n"/>
      <c r="C159" s="60" t="n"/>
      <c r="D159" s="60" t="n"/>
      <c r="E159" s="60" t="n"/>
      <c r="F159" s="61" t="n"/>
      <c r="G159" s="60" t="n"/>
      <c r="H159" s="60" t="n"/>
      <c r="I159" s="60" t="n"/>
      <c r="J159" s="61" t="n"/>
      <c r="K159" s="60" t="n"/>
      <c r="L159" s="60" t="n"/>
      <c r="M159" s="60" t="n"/>
      <c r="N159" s="60" t="n"/>
      <c r="O159" s="61" t="n"/>
      <c r="P159" s="60" t="n"/>
      <c r="Q159" s="60" t="n"/>
      <c r="R159" s="60" t="n"/>
      <c r="S159" s="60" t="n"/>
      <c r="T159" s="60" t="n"/>
      <c r="U159" s="60" t="n"/>
      <c r="V159" s="60" t="n"/>
      <c r="W159" s="60" t="n"/>
      <c r="X159" s="62" t="n"/>
      <c r="Y159" s="63">
        <f>IF($A159="","",IF(OR($W159&lt;&gt;"Yes",$X159="",TODAY()-$X159&gt;90),"At Risk","Not At Risk"))</f>
        <v/>
      </c>
      <c r="Z159" s="61" t="n"/>
    </row>
    <row r="160" ht="15" customHeight="1" s="39">
      <c r="A160" s="60" t="n"/>
      <c r="B160" s="60" t="n"/>
      <c r="C160" s="60" t="n"/>
      <c r="D160" s="60" t="n"/>
      <c r="E160" s="60" t="n"/>
      <c r="F160" s="61" t="n"/>
      <c r="G160" s="60" t="n"/>
      <c r="H160" s="60" t="n"/>
      <c r="I160" s="60" t="n"/>
      <c r="J160" s="61" t="n"/>
      <c r="K160" s="60" t="n"/>
      <c r="L160" s="60" t="n"/>
      <c r="M160" s="60" t="n"/>
      <c r="N160" s="60" t="n"/>
      <c r="O160" s="61" t="n"/>
      <c r="P160" s="60" t="n"/>
      <c r="Q160" s="60" t="n"/>
      <c r="R160" s="60" t="n"/>
      <c r="S160" s="60" t="n"/>
      <c r="T160" s="60" t="n"/>
      <c r="U160" s="60" t="n"/>
      <c r="V160" s="60" t="n"/>
      <c r="W160" s="60" t="n"/>
      <c r="X160" s="62" t="n"/>
      <c r="Y160" s="63">
        <f>IF($A160="","",IF(OR($W160&lt;&gt;"Yes",$X160="",TODAY()-$X160&gt;90),"At Risk","Not At Risk"))</f>
        <v/>
      </c>
      <c r="Z160" s="61" t="n"/>
    </row>
    <row r="161" ht="15" customHeight="1" s="39">
      <c r="A161" s="60" t="n"/>
      <c r="B161" s="60" t="n"/>
      <c r="C161" s="60" t="n"/>
      <c r="D161" s="60" t="n"/>
      <c r="E161" s="60" t="n"/>
      <c r="F161" s="61" t="n"/>
      <c r="G161" s="60" t="n"/>
      <c r="H161" s="60" t="n"/>
      <c r="I161" s="60" t="n"/>
      <c r="J161" s="61" t="n"/>
      <c r="K161" s="60" t="n"/>
      <c r="L161" s="60" t="n"/>
      <c r="M161" s="60" t="n"/>
      <c r="N161" s="60" t="n"/>
      <c r="O161" s="61" t="n"/>
      <c r="P161" s="60" t="n"/>
      <c r="Q161" s="60" t="n"/>
      <c r="R161" s="60" t="n"/>
      <c r="S161" s="60" t="n"/>
      <c r="T161" s="60" t="n"/>
      <c r="U161" s="60" t="n"/>
      <c r="V161" s="60" t="n"/>
      <c r="W161" s="60" t="n"/>
      <c r="X161" s="62" t="n"/>
      <c r="Y161" s="63">
        <f>IF($A161="","",IF(OR($W161&lt;&gt;"Yes",$X161="",TODAY()-$X161&gt;90),"At Risk","Not At Risk"))</f>
        <v/>
      </c>
      <c r="Z161" s="61" t="n"/>
    </row>
    <row r="162" ht="15" customHeight="1" s="39">
      <c r="A162" s="60" t="n"/>
      <c r="B162" s="60" t="n"/>
      <c r="C162" s="60" t="n"/>
      <c r="D162" s="60" t="n"/>
      <c r="E162" s="60" t="n"/>
      <c r="F162" s="61" t="n"/>
      <c r="G162" s="60" t="n"/>
      <c r="H162" s="60" t="n"/>
      <c r="I162" s="60" t="n"/>
      <c r="J162" s="61" t="n"/>
      <c r="K162" s="60" t="n"/>
      <c r="L162" s="60" t="n"/>
      <c r="M162" s="60" t="n"/>
      <c r="N162" s="60" t="n"/>
      <c r="O162" s="61" t="n"/>
      <c r="P162" s="60" t="n"/>
      <c r="Q162" s="60" t="n"/>
      <c r="R162" s="60" t="n"/>
      <c r="S162" s="60" t="n"/>
      <c r="T162" s="60" t="n"/>
      <c r="U162" s="60" t="n"/>
      <c r="V162" s="60" t="n"/>
      <c r="W162" s="60" t="n"/>
      <c r="X162" s="62" t="n"/>
      <c r="Y162" s="63">
        <f>IF($A162="","",IF(OR($W162&lt;&gt;"Yes",$X162="",TODAY()-$X162&gt;90),"At Risk","Not At Risk"))</f>
        <v/>
      </c>
      <c r="Z162" s="61" t="n"/>
    </row>
    <row r="163" ht="15" customHeight="1" s="39">
      <c r="A163" s="60" t="n"/>
      <c r="B163" s="60" t="n"/>
      <c r="C163" s="60" t="n"/>
      <c r="D163" s="60" t="n"/>
      <c r="E163" s="60" t="n"/>
      <c r="F163" s="61" t="n"/>
      <c r="G163" s="60" t="n"/>
      <c r="H163" s="60" t="n"/>
      <c r="I163" s="60" t="n"/>
      <c r="J163" s="61" t="n"/>
      <c r="K163" s="60" t="n"/>
      <c r="L163" s="60" t="n"/>
      <c r="M163" s="60" t="n"/>
      <c r="N163" s="60" t="n"/>
      <c r="O163" s="61" t="n"/>
      <c r="P163" s="60" t="n"/>
      <c r="Q163" s="60" t="n"/>
      <c r="R163" s="60" t="n"/>
      <c r="S163" s="60" t="n"/>
      <c r="T163" s="60" t="n"/>
      <c r="U163" s="60" t="n"/>
      <c r="V163" s="60" t="n"/>
      <c r="W163" s="60" t="n"/>
      <c r="X163" s="62" t="n"/>
      <c r="Y163" s="63">
        <f>IF($A163="","",IF(OR($W163&lt;&gt;"Yes",$X163="",TODAY()-$X163&gt;90),"At Risk","Not At Risk"))</f>
        <v/>
      </c>
      <c r="Z163" s="61" t="n"/>
    </row>
    <row r="164" ht="15" customHeight="1" s="39">
      <c r="A164" s="60" t="n"/>
      <c r="B164" s="60" t="n"/>
      <c r="C164" s="60" t="n"/>
      <c r="D164" s="60" t="n"/>
      <c r="E164" s="60" t="n"/>
      <c r="F164" s="61" t="n"/>
      <c r="G164" s="60" t="n"/>
      <c r="H164" s="60" t="n"/>
      <c r="I164" s="60" t="n"/>
      <c r="J164" s="61" t="n"/>
      <c r="K164" s="60" t="n"/>
      <c r="L164" s="60" t="n"/>
      <c r="M164" s="60" t="n"/>
      <c r="N164" s="60" t="n"/>
      <c r="O164" s="61" t="n"/>
      <c r="P164" s="60" t="n"/>
      <c r="Q164" s="60" t="n"/>
      <c r="R164" s="60" t="n"/>
      <c r="S164" s="60" t="n"/>
      <c r="T164" s="60" t="n"/>
      <c r="U164" s="60" t="n"/>
      <c r="V164" s="60" t="n"/>
      <c r="W164" s="60" t="n"/>
      <c r="X164" s="62" t="n"/>
      <c r="Y164" s="63">
        <f>IF($A164="","",IF(OR($W164&lt;&gt;"Yes",$X164="",TODAY()-$X164&gt;90),"At Risk","Not At Risk"))</f>
        <v/>
      </c>
      <c r="Z164" s="61" t="n"/>
    </row>
    <row r="165" ht="15" customHeight="1" s="39">
      <c r="A165" s="60" t="n"/>
      <c r="B165" s="60" t="n"/>
      <c r="C165" s="60" t="n"/>
      <c r="D165" s="60" t="n"/>
      <c r="E165" s="60" t="n"/>
      <c r="F165" s="61" t="n"/>
      <c r="G165" s="60" t="n"/>
      <c r="H165" s="60" t="n"/>
      <c r="I165" s="60" t="n"/>
      <c r="J165" s="61" t="n"/>
      <c r="K165" s="60" t="n"/>
      <c r="L165" s="60" t="n"/>
      <c r="M165" s="60" t="n"/>
      <c r="N165" s="60" t="n"/>
      <c r="O165" s="61" t="n"/>
      <c r="P165" s="60" t="n"/>
      <c r="Q165" s="60" t="n"/>
      <c r="R165" s="60" t="n"/>
      <c r="S165" s="60" t="n"/>
      <c r="T165" s="60" t="n"/>
      <c r="U165" s="60" t="n"/>
      <c r="V165" s="60" t="n"/>
      <c r="W165" s="60" t="n"/>
      <c r="X165" s="62" t="n"/>
      <c r="Y165" s="63">
        <f>IF($A165="","",IF(OR($W165&lt;&gt;"Yes",$X165="",TODAY()-$X165&gt;90),"At Risk","Not At Risk"))</f>
        <v/>
      </c>
      <c r="Z165" s="61" t="n"/>
    </row>
    <row r="166" ht="15" customHeight="1" s="39">
      <c r="A166" s="60" t="n"/>
      <c r="B166" s="60" t="n"/>
      <c r="C166" s="60" t="n"/>
      <c r="D166" s="60" t="n"/>
      <c r="E166" s="60" t="n"/>
      <c r="F166" s="61" t="n"/>
      <c r="G166" s="60" t="n"/>
      <c r="H166" s="60" t="n"/>
      <c r="I166" s="60" t="n"/>
      <c r="J166" s="61" t="n"/>
      <c r="K166" s="60" t="n"/>
      <c r="L166" s="60" t="n"/>
      <c r="M166" s="60" t="n"/>
      <c r="N166" s="60" t="n"/>
      <c r="O166" s="61" t="n"/>
      <c r="P166" s="60" t="n"/>
      <c r="Q166" s="60" t="n"/>
      <c r="R166" s="60" t="n"/>
      <c r="S166" s="60" t="n"/>
      <c r="T166" s="60" t="n"/>
      <c r="U166" s="60" t="n"/>
      <c r="V166" s="60" t="n"/>
      <c r="W166" s="60" t="n"/>
      <c r="X166" s="62" t="n"/>
      <c r="Y166" s="63">
        <f>IF($A166="","",IF(OR($W166&lt;&gt;"Yes",$X166="",TODAY()-$X166&gt;90),"At Risk","Not At Risk"))</f>
        <v/>
      </c>
      <c r="Z166" s="61" t="n"/>
    </row>
    <row r="167" ht="15" customHeight="1" s="39">
      <c r="A167" s="60" t="n"/>
      <c r="B167" s="60" t="n"/>
      <c r="C167" s="60" t="n"/>
      <c r="D167" s="60" t="n"/>
      <c r="E167" s="60" t="n"/>
      <c r="F167" s="61" t="n"/>
      <c r="G167" s="60" t="n"/>
      <c r="H167" s="60" t="n"/>
      <c r="I167" s="60" t="n"/>
      <c r="J167" s="61" t="n"/>
      <c r="K167" s="60" t="n"/>
      <c r="L167" s="60" t="n"/>
      <c r="M167" s="60" t="n"/>
      <c r="N167" s="60" t="n"/>
      <c r="O167" s="61" t="n"/>
      <c r="P167" s="60" t="n"/>
      <c r="Q167" s="60" t="n"/>
      <c r="R167" s="60" t="n"/>
      <c r="S167" s="60" t="n"/>
      <c r="T167" s="60" t="n"/>
      <c r="U167" s="60" t="n"/>
      <c r="V167" s="60" t="n"/>
      <c r="W167" s="60" t="n"/>
      <c r="X167" s="62" t="n"/>
      <c r="Y167" s="63">
        <f>IF($A167="","",IF(OR($W167&lt;&gt;"Yes",$X167="",TODAY()-$X167&gt;90),"At Risk","Not At Risk"))</f>
        <v/>
      </c>
      <c r="Z167" s="61" t="n"/>
    </row>
    <row r="168" ht="15" customHeight="1" s="39">
      <c r="A168" s="60" t="n"/>
      <c r="B168" s="60" t="n"/>
      <c r="C168" s="60" t="n"/>
      <c r="D168" s="60" t="n"/>
      <c r="E168" s="60" t="n"/>
      <c r="F168" s="61" t="n"/>
      <c r="G168" s="60" t="n"/>
      <c r="H168" s="60" t="n"/>
      <c r="I168" s="60" t="n"/>
      <c r="J168" s="61" t="n"/>
      <c r="K168" s="60" t="n"/>
      <c r="L168" s="60" t="n"/>
      <c r="M168" s="60" t="n"/>
      <c r="N168" s="60" t="n"/>
      <c r="O168" s="61" t="n"/>
      <c r="P168" s="60" t="n"/>
      <c r="Q168" s="60" t="n"/>
      <c r="R168" s="60" t="n"/>
      <c r="S168" s="60" t="n"/>
      <c r="T168" s="60" t="n"/>
      <c r="U168" s="60" t="n"/>
      <c r="V168" s="60" t="n"/>
      <c r="W168" s="60" t="n"/>
      <c r="X168" s="62" t="n"/>
      <c r="Y168" s="63">
        <f>IF($A168="","",IF(OR($W168&lt;&gt;"Yes",$X168="",TODAY()-$X168&gt;90),"At Risk","Not At Risk"))</f>
        <v/>
      </c>
      <c r="Z168" s="61" t="n"/>
    </row>
    <row r="169" ht="15" customHeight="1" s="39">
      <c r="A169" s="60" t="n"/>
      <c r="B169" s="60" t="n"/>
      <c r="C169" s="60" t="n"/>
      <c r="D169" s="60" t="n"/>
      <c r="E169" s="60" t="n"/>
      <c r="F169" s="61" t="n"/>
      <c r="G169" s="60" t="n"/>
      <c r="H169" s="60" t="n"/>
      <c r="I169" s="60" t="n"/>
      <c r="J169" s="61" t="n"/>
      <c r="K169" s="60" t="n"/>
      <c r="L169" s="60" t="n"/>
      <c r="M169" s="60" t="n"/>
      <c r="N169" s="60" t="n"/>
      <c r="O169" s="61" t="n"/>
      <c r="P169" s="60" t="n"/>
      <c r="Q169" s="60" t="n"/>
      <c r="R169" s="60" t="n"/>
      <c r="S169" s="60" t="n"/>
      <c r="T169" s="60" t="n"/>
      <c r="U169" s="60" t="n"/>
      <c r="V169" s="60" t="n"/>
      <c r="W169" s="60" t="n"/>
      <c r="X169" s="62" t="n"/>
      <c r="Y169" s="63">
        <f>IF($A169="","",IF(OR($W169&lt;&gt;"Yes",$X169="",TODAY()-$X169&gt;90),"At Risk","Not At Risk"))</f>
        <v/>
      </c>
      <c r="Z169" s="61" t="n"/>
    </row>
    <row r="170" ht="15" customHeight="1" s="39">
      <c r="A170" s="60" t="n"/>
      <c r="B170" s="60" t="n"/>
      <c r="C170" s="60" t="n"/>
      <c r="D170" s="60" t="n"/>
      <c r="E170" s="60" t="n"/>
      <c r="F170" s="61" t="n"/>
      <c r="G170" s="60" t="n"/>
      <c r="H170" s="60" t="n"/>
      <c r="I170" s="60" t="n"/>
      <c r="J170" s="61" t="n"/>
      <c r="K170" s="60" t="n"/>
      <c r="L170" s="60" t="n"/>
      <c r="M170" s="60" t="n"/>
      <c r="N170" s="60" t="n"/>
      <c r="O170" s="61" t="n"/>
      <c r="P170" s="60" t="n"/>
      <c r="Q170" s="60" t="n"/>
      <c r="R170" s="60" t="n"/>
      <c r="S170" s="60" t="n"/>
      <c r="T170" s="60" t="n"/>
      <c r="U170" s="60" t="n"/>
      <c r="V170" s="60" t="n"/>
      <c r="W170" s="60" t="n"/>
      <c r="X170" s="62" t="n"/>
      <c r="Y170" s="63">
        <f>IF($A170="","",IF(OR($W170&lt;&gt;"Yes",$X170="",TODAY()-$X170&gt;90),"At Risk","Not At Risk"))</f>
        <v/>
      </c>
      <c r="Z170" s="61" t="n"/>
    </row>
    <row r="171" ht="15" customHeight="1" s="39">
      <c r="A171" s="60" t="n"/>
      <c r="B171" s="60" t="n"/>
      <c r="C171" s="60" t="n"/>
      <c r="D171" s="60" t="n"/>
      <c r="E171" s="60" t="n"/>
      <c r="F171" s="61" t="n"/>
      <c r="G171" s="60" t="n"/>
      <c r="H171" s="60" t="n"/>
      <c r="I171" s="60" t="n"/>
      <c r="J171" s="61" t="n"/>
      <c r="K171" s="60" t="n"/>
      <c r="L171" s="60" t="n"/>
      <c r="M171" s="60" t="n"/>
      <c r="N171" s="60" t="n"/>
      <c r="O171" s="61" t="n"/>
      <c r="P171" s="60" t="n"/>
      <c r="Q171" s="60" t="n"/>
      <c r="R171" s="60" t="n"/>
      <c r="S171" s="60" t="n"/>
      <c r="T171" s="60" t="n"/>
      <c r="U171" s="60" t="n"/>
      <c r="V171" s="60" t="n"/>
      <c r="W171" s="60" t="n"/>
      <c r="X171" s="62" t="n"/>
      <c r="Y171" s="63">
        <f>IF($A171="","",IF(OR($W171&lt;&gt;"Yes",$X171="",TODAY()-$X171&gt;90),"At Risk","Not At Risk"))</f>
        <v/>
      </c>
      <c r="Z171" s="61" t="n"/>
    </row>
    <row r="172" ht="15" customHeight="1" s="39">
      <c r="A172" s="60" t="n"/>
      <c r="B172" s="60" t="n"/>
      <c r="C172" s="60" t="n"/>
      <c r="D172" s="60" t="n"/>
      <c r="E172" s="60" t="n"/>
      <c r="F172" s="61" t="n"/>
      <c r="G172" s="60" t="n"/>
      <c r="H172" s="60" t="n"/>
      <c r="I172" s="60" t="n"/>
      <c r="J172" s="61" t="n"/>
      <c r="K172" s="60" t="n"/>
      <c r="L172" s="60" t="n"/>
      <c r="M172" s="60" t="n"/>
      <c r="N172" s="60" t="n"/>
      <c r="O172" s="61" t="n"/>
      <c r="P172" s="60" t="n"/>
      <c r="Q172" s="60" t="n"/>
      <c r="R172" s="60" t="n"/>
      <c r="S172" s="60" t="n"/>
      <c r="T172" s="60" t="n"/>
      <c r="U172" s="60" t="n"/>
      <c r="V172" s="60" t="n"/>
      <c r="W172" s="60" t="n"/>
      <c r="X172" s="62" t="n"/>
      <c r="Y172" s="63">
        <f>IF($A172="","",IF(OR($W172&lt;&gt;"Yes",$X172="",TODAY()-$X172&gt;90),"At Risk","Not At Risk"))</f>
        <v/>
      </c>
      <c r="Z172" s="61" t="n"/>
    </row>
    <row r="173" ht="15" customHeight="1" s="39">
      <c r="A173" s="60" t="n"/>
      <c r="B173" s="60" t="n"/>
      <c r="C173" s="60" t="n"/>
      <c r="D173" s="60" t="n"/>
      <c r="E173" s="60" t="n"/>
      <c r="F173" s="61" t="n"/>
      <c r="G173" s="60" t="n"/>
      <c r="H173" s="60" t="n"/>
      <c r="I173" s="60" t="n"/>
      <c r="J173" s="61" t="n"/>
      <c r="K173" s="60" t="n"/>
      <c r="L173" s="60" t="n"/>
      <c r="M173" s="60" t="n"/>
      <c r="N173" s="60" t="n"/>
      <c r="O173" s="61" t="n"/>
      <c r="P173" s="60" t="n"/>
      <c r="Q173" s="60" t="n"/>
      <c r="R173" s="60" t="n"/>
      <c r="S173" s="60" t="n"/>
      <c r="T173" s="60" t="n"/>
      <c r="U173" s="60" t="n"/>
      <c r="V173" s="60" t="n"/>
      <c r="W173" s="60" t="n"/>
      <c r="X173" s="62" t="n"/>
      <c r="Y173" s="63">
        <f>IF($A173="","",IF(OR($W173&lt;&gt;"Yes",$X173="",TODAY()-$X173&gt;90),"At Risk","Not At Risk"))</f>
        <v/>
      </c>
      <c r="Z173" s="61" t="n"/>
    </row>
    <row r="174" ht="15" customHeight="1" s="39">
      <c r="A174" s="60" t="n"/>
      <c r="B174" s="60" t="n"/>
      <c r="C174" s="60" t="n"/>
      <c r="D174" s="60" t="n"/>
      <c r="E174" s="60" t="n"/>
      <c r="F174" s="61" t="n"/>
      <c r="G174" s="60" t="n"/>
      <c r="H174" s="60" t="n"/>
      <c r="I174" s="60" t="n"/>
      <c r="J174" s="61" t="n"/>
      <c r="K174" s="60" t="n"/>
      <c r="L174" s="60" t="n"/>
      <c r="M174" s="60" t="n"/>
      <c r="N174" s="60" t="n"/>
      <c r="O174" s="61" t="n"/>
      <c r="P174" s="60" t="n"/>
      <c r="Q174" s="60" t="n"/>
      <c r="R174" s="60" t="n"/>
      <c r="S174" s="60" t="n"/>
      <c r="T174" s="60" t="n"/>
      <c r="U174" s="60" t="n"/>
      <c r="V174" s="60" t="n"/>
      <c r="W174" s="60" t="n"/>
      <c r="X174" s="62" t="n"/>
      <c r="Y174" s="63">
        <f>IF($A174="","",IF(OR($W174&lt;&gt;"Yes",$X174="",TODAY()-$X174&gt;90),"At Risk","Not At Risk"))</f>
        <v/>
      </c>
      <c r="Z174" s="61" t="n"/>
    </row>
    <row r="175" ht="15" customHeight="1" s="39">
      <c r="A175" s="60" t="n"/>
      <c r="B175" s="60" t="n"/>
      <c r="C175" s="60" t="n"/>
      <c r="D175" s="60" t="n"/>
      <c r="E175" s="60" t="n"/>
      <c r="F175" s="61" t="n"/>
      <c r="G175" s="60" t="n"/>
      <c r="H175" s="60" t="n"/>
      <c r="I175" s="60" t="n"/>
      <c r="J175" s="61" t="n"/>
      <c r="K175" s="60" t="n"/>
      <c r="L175" s="60" t="n"/>
      <c r="M175" s="60" t="n"/>
      <c r="N175" s="60" t="n"/>
      <c r="O175" s="61" t="n"/>
      <c r="P175" s="60" t="n"/>
      <c r="Q175" s="60" t="n"/>
      <c r="R175" s="60" t="n"/>
      <c r="S175" s="60" t="n"/>
      <c r="T175" s="60" t="n"/>
      <c r="U175" s="60" t="n"/>
      <c r="V175" s="60" t="n"/>
      <c r="W175" s="60" t="n"/>
      <c r="X175" s="62" t="n"/>
      <c r="Y175" s="63">
        <f>IF($A175="","",IF(OR($W175&lt;&gt;"Yes",$X175="",TODAY()-$X175&gt;90),"At Risk","Not At Risk"))</f>
        <v/>
      </c>
      <c r="Z175" s="61" t="n"/>
    </row>
    <row r="176" ht="15" customHeight="1" s="39">
      <c r="A176" s="60" t="n"/>
      <c r="B176" s="60" t="n"/>
      <c r="C176" s="60" t="n"/>
      <c r="D176" s="60" t="n"/>
      <c r="E176" s="60" t="n"/>
      <c r="F176" s="61" t="n"/>
      <c r="G176" s="60" t="n"/>
      <c r="H176" s="60" t="n"/>
      <c r="I176" s="60" t="n"/>
      <c r="J176" s="61" t="n"/>
      <c r="K176" s="60" t="n"/>
      <c r="L176" s="60" t="n"/>
      <c r="M176" s="60" t="n"/>
      <c r="N176" s="60" t="n"/>
      <c r="O176" s="61" t="n"/>
      <c r="P176" s="60" t="n"/>
      <c r="Q176" s="60" t="n"/>
      <c r="R176" s="60" t="n"/>
      <c r="S176" s="60" t="n"/>
      <c r="T176" s="60" t="n"/>
      <c r="U176" s="60" t="n"/>
      <c r="V176" s="60" t="n"/>
      <c r="W176" s="60" t="n"/>
      <c r="X176" s="62" t="n"/>
      <c r="Y176" s="63">
        <f>IF($A176="","",IF(OR($W176&lt;&gt;"Yes",$X176="",TODAY()-$X176&gt;90),"At Risk","Not At Risk"))</f>
        <v/>
      </c>
      <c r="Z176" s="61" t="n"/>
    </row>
    <row r="177" ht="15" customHeight="1" s="39">
      <c r="A177" s="60" t="n"/>
      <c r="B177" s="60" t="n"/>
      <c r="C177" s="60" t="n"/>
      <c r="D177" s="60" t="n"/>
      <c r="E177" s="60" t="n"/>
      <c r="F177" s="61" t="n"/>
      <c r="G177" s="60" t="n"/>
      <c r="H177" s="60" t="n"/>
      <c r="I177" s="60" t="n"/>
      <c r="J177" s="61" t="n"/>
      <c r="K177" s="60" t="n"/>
      <c r="L177" s="60" t="n"/>
      <c r="M177" s="60" t="n"/>
      <c r="N177" s="60" t="n"/>
      <c r="O177" s="61" t="n"/>
      <c r="P177" s="60" t="n"/>
      <c r="Q177" s="60" t="n"/>
      <c r="R177" s="60" t="n"/>
      <c r="S177" s="60" t="n"/>
      <c r="T177" s="60" t="n"/>
      <c r="U177" s="60" t="n"/>
      <c r="V177" s="60" t="n"/>
      <c r="W177" s="60" t="n"/>
      <c r="X177" s="62" t="n"/>
      <c r="Y177" s="63">
        <f>IF($A177="","",IF(OR($W177&lt;&gt;"Yes",$X177="",TODAY()-$X177&gt;90),"At Risk","Not At Risk"))</f>
        <v/>
      </c>
      <c r="Z177" s="61" t="n"/>
    </row>
    <row r="178" ht="15" customHeight="1" s="39">
      <c r="A178" s="60" t="n"/>
      <c r="B178" s="60" t="n"/>
      <c r="C178" s="60" t="n"/>
      <c r="D178" s="60" t="n"/>
      <c r="E178" s="60" t="n"/>
      <c r="F178" s="61" t="n"/>
      <c r="G178" s="60" t="n"/>
      <c r="H178" s="60" t="n"/>
      <c r="I178" s="60" t="n"/>
      <c r="J178" s="61" t="n"/>
      <c r="K178" s="60" t="n"/>
      <c r="L178" s="60" t="n"/>
      <c r="M178" s="60" t="n"/>
      <c r="N178" s="60" t="n"/>
      <c r="O178" s="61" t="n"/>
      <c r="P178" s="60" t="n"/>
      <c r="Q178" s="60" t="n"/>
      <c r="R178" s="60" t="n"/>
      <c r="S178" s="60" t="n"/>
      <c r="T178" s="60" t="n"/>
      <c r="U178" s="60" t="n"/>
      <c r="V178" s="60" t="n"/>
      <c r="W178" s="60" t="n"/>
      <c r="X178" s="62" t="n"/>
      <c r="Y178" s="63">
        <f>IF($A178="","",IF(OR($W178&lt;&gt;"Yes",$X178="",TODAY()-$X178&gt;90),"At Risk","Not At Risk"))</f>
        <v/>
      </c>
      <c r="Z178" s="61" t="n"/>
    </row>
    <row r="179" ht="15" customHeight="1" s="39">
      <c r="A179" s="60" t="n"/>
      <c r="B179" s="60" t="n"/>
      <c r="C179" s="60" t="n"/>
      <c r="D179" s="60" t="n"/>
      <c r="E179" s="60" t="n"/>
      <c r="F179" s="61" t="n"/>
      <c r="G179" s="60" t="n"/>
      <c r="H179" s="60" t="n"/>
      <c r="I179" s="60" t="n"/>
      <c r="J179" s="61" t="n"/>
      <c r="K179" s="60" t="n"/>
      <c r="L179" s="60" t="n"/>
      <c r="M179" s="60" t="n"/>
      <c r="N179" s="60" t="n"/>
      <c r="O179" s="61" t="n"/>
      <c r="P179" s="60" t="n"/>
      <c r="Q179" s="60" t="n"/>
      <c r="R179" s="60" t="n"/>
      <c r="S179" s="60" t="n"/>
      <c r="T179" s="60" t="n"/>
      <c r="U179" s="60" t="n"/>
      <c r="V179" s="60" t="n"/>
      <c r="W179" s="60" t="n"/>
      <c r="X179" s="62" t="n"/>
      <c r="Y179" s="63">
        <f>IF($A179="","",IF(OR($W179&lt;&gt;"Yes",$X179="",TODAY()-$X179&gt;90),"At Risk","Not At Risk"))</f>
        <v/>
      </c>
      <c r="Z179" s="61" t="n"/>
    </row>
    <row r="180" ht="15" customHeight="1" s="39">
      <c r="A180" s="60" t="n"/>
      <c r="B180" s="60" t="n"/>
      <c r="C180" s="60" t="n"/>
      <c r="D180" s="60" t="n"/>
      <c r="E180" s="60" t="n"/>
      <c r="F180" s="61" t="n"/>
      <c r="G180" s="60" t="n"/>
      <c r="H180" s="60" t="n"/>
      <c r="I180" s="60" t="n"/>
      <c r="J180" s="61" t="n"/>
      <c r="K180" s="60" t="n"/>
      <c r="L180" s="60" t="n"/>
      <c r="M180" s="60" t="n"/>
      <c r="N180" s="60" t="n"/>
      <c r="O180" s="61" t="n"/>
      <c r="P180" s="60" t="n"/>
      <c r="Q180" s="60" t="n"/>
      <c r="R180" s="60" t="n"/>
      <c r="S180" s="60" t="n"/>
      <c r="T180" s="60" t="n"/>
      <c r="U180" s="60" t="n"/>
      <c r="V180" s="60" t="n"/>
      <c r="W180" s="60" t="n"/>
      <c r="X180" s="62" t="n"/>
      <c r="Y180" s="63">
        <f>IF($A180="","",IF(OR($W180&lt;&gt;"Yes",$X180="",TODAY()-$X180&gt;90),"At Risk","Not At Risk"))</f>
        <v/>
      </c>
      <c r="Z180" s="61" t="n"/>
    </row>
    <row r="181" ht="15" customHeight="1" s="39">
      <c r="A181" s="60" t="n"/>
      <c r="B181" s="60" t="n"/>
      <c r="C181" s="60" t="n"/>
      <c r="D181" s="60" t="n"/>
      <c r="E181" s="60" t="n"/>
      <c r="F181" s="61" t="n"/>
      <c r="G181" s="60" t="n"/>
      <c r="H181" s="60" t="n"/>
      <c r="I181" s="60" t="n"/>
      <c r="J181" s="61" t="n"/>
      <c r="K181" s="60" t="n"/>
      <c r="L181" s="60" t="n"/>
      <c r="M181" s="60" t="n"/>
      <c r="N181" s="60" t="n"/>
      <c r="O181" s="61" t="n"/>
      <c r="P181" s="60" t="n"/>
      <c r="Q181" s="60" t="n"/>
      <c r="R181" s="60" t="n"/>
      <c r="S181" s="60" t="n"/>
      <c r="T181" s="60" t="n"/>
      <c r="U181" s="60" t="n"/>
      <c r="V181" s="60" t="n"/>
      <c r="W181" s="60" t="n"/>
      <c r="X181" s="62" t="n"/>
      <c r="Y181" s="63">
        <f>IF($A181="","",IF(OR($W181&lt;&gt;"Yes",$X181="",TODAY()-$X181&gt;90),"At Risk","Not At Risk"))</f>
        <v/>
      </c>
      <c r="Z181" s="61" t="n"/>
    </row>
    <row r="182" ht="15" customHeight="1" s="39">
      <c r="A182" s="60" t="n"/>
      <c r="B182" s="60" t="n"/>
      <c r="C182" s="60" t="n"/>
      <c r="D182" s="60" t="n"/>
      <c r="E182" s="60" t="n"/>
      <c r="F182" s="61" t="n"/>
      <c r="G182" s="60" t="n"/>
      <c r="H182" s="60" t="n"/>
      <c r="I182" s="60" t="n"/>
      <c r="J182" s="61" t="n"/>
      <c r="K182" s="60" t="n"/>
      <c r="L182" s="60" t="n"/>
      <c r="M182" s="60" t="n"/>
      <c r="N182" s="60" t="n"/>
      <c r="O182" s="61" t="n"/>
      <c r="P182" s="60" t="n"/>
      <c r="Q182" s="60" t="n"/>
      <c r="R182" s="60" t="n"/>
      <c r="S182" s="60" t="n"/>
      <c r="T182" s="60" t="n"/>
      <c r="U182" s="60" t="n"/>
      <c r="V182" s="60" t="n"/>
      <c r="W182" s="60" t="n"/>
      <c r="X182" s="62" t="n"/>
      <c r="Y182" s="63">
        <f>IF($A182="","",IF(OR($W182&lt;&gt;"Yes",$X182="",TODAY()-$X182&gt;90),"At Risk","Not At Risk"))</f>
        <v/>
      </c>
      <c r="Z182" s="61" t="n"/>
    </row>
    <row r="183" ht="15" customHeight="1" s="39">
      <c r="A183" s="60" t="n"/>
      <c r="B183" s="60" t="n"/>
      <c r="C183" s="60" t="n"/>
      <c r="D183" s="60" t="n"/>
      <c r="E183" s="60" t="n"/>
      <c r="F183" s="61" t="n"/>
      <c r="G183" s="60" t="n"/>
      <c r="H183" s="60" t="n"/>
      <c r="I183" s="60" t="n"/>
      <c r="J183" s="61" t="n"/>
      <c r="K183" s="60" t="n"/>
      <c r="L183" s="60" t="n"/>
      <c r="M183" s="60" t="n"/>
      <c r="N183" s="60" t="n"/>
      <c r="O183" s="61" t="n"/>
      <c r="P183" s="60" t="n"/>
      <c r="Q183" s="60" t="n"/>
      <c r="R183" s="60" t="n"/>
      <c r="S183" s="60" t="n"/>
      <c r="T183" s="60" t="n"/>
      <c r="U183" s="60" t="n"/>
      <c r="V183" s="60" t="n"/>
      <c r="W183" s="60" t="n"/>
      <c r="X183" s="62" t="n"/>
      <c r="Y183" s="63">
        <f>IF($A183="","",IF(OR($W183&lt;&gt;"Yes",$X183="",TODAY()-$X183&gt;90),"At Risk","Not At Risk"))</f>
        <v/>
      </c>
      <c r="Z183" s="61" t="n"/>
    </row>
    <row r="184" ht="15" customHeight="1" s="39">
      <c r="A184" s="60" t="n"/>
      <c r="B184" s="60" t="n"/>
      <c r="C184" s="60" t="n"/>
      <c r="D184" s="60" t="n"/>
      <c r="E184" s="60" t="n"/>
      <c r="F184" s="61" t="n"/>
      <c r="G184" s="60" t="n"/>
      <c r="H184" s="60" t="n"/>
      <c r="I184" s="60" t="n"/>
      <c r="J184" s="61" t="n"/>
      <c r="K184" s="60" t="n"/>
      <c r="L184" s="60" t="n"/>
      <c r="M184" s="60" t="n"/>
      <c r="N184" s="60" t="n"/>
      <c r="O184" s="61" t="n"/>
      <c r="P184" s="60" t="n"/>
      <c r="Q184" s="60" t="n"/>
      <c r="R184" s="60" t="n"/>
      <c r="S184" s="60" t="n"/>
      <c r="T184" s="60" t="n"/>
      <c r="U184" s="60" t="n"/>
      <c r="V184" s="60" t="n"/>
      <c r="W184" s="60" t="n"/>
      <c r="X184" s="62" t="n"/>
      <c r="Y184" s="63">
        <f>IF($A184="","",IF(OR($W184&lt;&gt;"Yes",$X184="",TODAY()-$X184&gt;90),"At Risk","Not At Risk"))</f>
        <v/>
      </c>
      <c r="Z184" s="61" t="n"/>
    </row>
    <row r="185" ht="15" customHeight="1" s="39">
      <c r="A185" s="60" t="n"/>
      <c r="B185" s="60" t="n"/>
      <c r="C185" s="60" t="n"/>
      <c r="D185" s="60" t="n"/>
      <c r="E185" s="60" t="n"/>
      <c r="F185" s="61" t="n"/>
      <c r="G185" s="60" t="n"/>
      <c r="H185" s="60" t="n"/>
      <c r="I185" s="60" t="n"/>
      <c r="J185" s="61" t="n"/>
      <c r="K185" s="60" t="n"/>
      <c r="L185" s="60" t="n"/>
      <c r="M185" s="60" t="n"/>
      <c r="N185" s="60" t="n"/>
      <c r="O185" s="61" t="n"/>
      <c r="P185" s="60" t="n"/>
      <c r="Q185" s="60" t="n"/>
      <c r="R185" s="60" t="n"/>
      <c r="S185" s="60" t="n"/>
      <c r="T185" s="60" t="n"/>
      <c r="U185" s="60" t="n"/>
      <c r="V185" s="60" t="n"/>
      <c r="W185" s="60" t="n"/>
      <c r="X185" s="62" t="n"/>
      <c r="Y185" s="63">
        <f>IF($A185="","",IF(OR($W185&lt;&gt;"Yes",$X185="",TODAY()-$X185&gt;90),"At Risk","Not At Risk"))</f>
        <v/>
      </c>
      <c r="Z185" s="61" t="n"/>
    </row>
    <row r="186" ht="15" customHeight="1" s="39">
      <c r="A186" s="60" t="n"/>
      <c r="B186" s="60" t="n"/>
      <c r="C186" s="60" t="n"/>
      <c r="D186" s="60" t="n"/>
      <c r="E186" s="60" t="n"/>
      <c r="F186" s="61" t="n"/>
      <c r="G186" s="60" t="n"/>
      <c r="H186" s="60" t="n"/>
      <c r="I186" s="60" t="n"/>
      <c r="J186" s="61" t="n"/>
      <c r="K186" s="60" t="n"/>
      <c r="L186" s="60" t="n"/>
      <c r="M186" s="60" t="n"/>
      <c r="N186" s="60" t="n"/>
      <c r="O186" s="61" t="n"/>
      <c r="P186" s="60" t="n"/>
      <c r="Q186" s="60" t="n"/>
      <c r="R186" s="60" t="n"/>
      <c r="S186" s="60" t="n"/>
      <c r="T186" s="60" t="n"/>
      <c r="U186" s="60" t="n"/>
      <c r="V186" s="60" t="n"/>
      <c r="W186" s="60" t="n"/>
      <c r="X186" s="62" t="n"/>
      <c r="Y186" s="63">
        <f>IF($A186="","",IF(OR($W186&lt;&gt;"Yes",$X186="",TODAY()-$X186&gt;90),"At Risk","Not At Risk"))</f>
        <v/>
      </c>
      <c r="Z186" s="61" t="n"/>
    </row>
    <row r="187" ht="15" customHeight="1" s="39">
      <c r="A187" s="60" t="n"/>
      <c r="B187" s="60" t="n"/>
      <c r="C187" s="60" t="n"/>
      <c r="D187" s="60" t="n"/>
      <c r="E187" s="60" t="n"/>
      <c r="F187" s="61" t="n"/>
      <c r="G187" s="60" t="n"/>
      <c r="H187" s="60" t="n"/>
      <c r="I187" s="60" t="n"/>
      <c r="J187" s="61" t="n"/>
      <c r="K187" s="60" t="n"/>
      <c r="L187" s="60" t="n"/>
      <c r="M187" s="60" t="n"/>
      <c r="N187" s="60" t="n"/>
      <c r="O187" s="61" t="n"/>
      <c r="P187" s="60" t="n"/>
      <c r="Q187" s="60" t="n"/>
      <c r="R187" s="60" t="n"/>
      <c r="S187" s="60" t="n"/>
      <c r="T187" s="60" t="n"/>
      <c r="U187" s="60" t="n"/>
      <c r="V187" s="60" t="n"/>
      <c r="W187" s="60" t="n"/>
      <c r="X187" s="62" t="n"/>
      <c r="Y187" s="63">
        <f>IF($A187="","",IF(OR($W187&lt;&gt;"Yes",$X187="",TODAY()-$X187&gt;90),"At Risk","Not At Risk"))</f>
        <v/>
      </c>
      <c r="Z187" s="61" t="n"/>
    </row>
    <row r="188" ht="15" customHeight="1" s="39">
      <c r="A188" s="60" t="n"/>
      <c r="B188" s="60" t="n"/>
      <c r="C188" s="60" t="n"/>
      <c r="D188" s="60" t="n"/>
      <c r="E188" s="60" t="n"/>
      <c r="F188" s="61" t="n"/>
      <c r="G188" s="60" t="n"/>
      <c r="H188" s="60" t="n"/>
      <c r="I188" s="60" t="n"/>
      <c r="J188" s="61" t="n"/>
      <c r="K188" s="60" t="n"/>
      <c r="L188" s="60" t="n"/>
      <c r="M188" s="60" t="n"/>
      <c r="N188" s="60" t="n"/>
      <c r="O188" s="61" t="n"/>
      <c r="P188" s="60" t="n"/>
      <c r="Q188" s="60" t="n"/>
      <c r="R188" s="60" t="n"/>
      <c r="S188" s="60" t="n"/>
      <c r="T188" s="60" t="n"/>
      <c r="U188" s="60" t="n"/>
      <c r="V188" s="60" t="n"/>
      <c r="W188" s="60" t="n"/>
      <c r="X188" s="62" t="n"/>
      <c r="Y188" s="63">
        <f>IF($A188="","",IF(OR($W188&lt;&gt;"Yes",$X188="",TODAY()-$X188&gt;90),"At Risk","Not At Risk"))</f>
        <v/>
      </c>
      <c r="Z188" s="61" t="n"/>
    </row>
    <row r="189" ht="15" customHeight="1" s="39">
      <c r="A189" s="60" t="n"/>
      <c r="B189" s="60" t="n"/>
      <c r="C189" s="60" t="n"/>
      <c r="D189" s="60" t="n"/>
      <c r="E189" s="60" t="n"/>
      <c r="F189" s="61" t="n"/>
      <c r="G189" s="60" t="n"/>
      <c r="H189" s="60" t="n"/>
      <c r="I189" s="60" t="n"/>
      <c r="J189" s="61" t="n"/>
      <c r="K189" s="60" t="n"/>
      <c r="L189" s="60" t="n"/>
      <c r="M189" s="60" t="n"/>
      <c r="N189" s="60" t="n"/>
      <c r="O189" s="61" t="n"/>
      <c r="P189" s="60" t="n"/>
      <c r="Q189" s="60" t="n"/>
      <c r="R189" s="60" t="n"/>
      <c r="S189" s="60" t="n"/>
      <c r="T189" s="60" t="n"/>
      <c r="U189" s="60" t="n"/>
      <c r="V189" s="60" t="n"/>
      <c r="W189" s="60" t="n"/>
      <c r="X189" s="62" t="n"/>
      <c r="Y189" s="63">
        <f>IF($A189="","",IF(OR($W189&lt;&gt;"Yes",$X189="",TODAY()-$X189&gt;90),"At Risk","Not At Risk"))</f>
        <v/>
      </c>
      <c r="Z189" s="61" t="n"/>
    </row>
    <row r="190" ht="15" customHeight="1" s="39">
      <c r="A190" s="60" t="n"/>
      <c r="B190" s="60" t="n"/>
      <c r="C190" s="60" t="n"/>
      <c r="D190" s="60" t="n"/>
      <c r="E190" s="60" t="n"/>
      <c r="F190" s="61" t="n"/>
      <c r="G190" s="60" t="n"/>
      <c r="H190" s="60" t="n"/>
      <c r="I190" s="60" t="n"/>
      <c r="J190" s="61" t="n"/>
      <c r="K190" s="60" t="n"/>
      <c r="L190" s="60" t="n"/>
      <c r="M190" s="60" t="n"/>
      <c r="N190" s="60" t="n"/>
      <c r="O190" s="61" t="n"/>
      <c r="P190" s="60" t="n"/>
      <c r="Q190" s="60" t="n"/>
      <c r="R190" s="60" t="n"/>
      <c r="S190" s="60" t="n"/>
      <c r="T190" s="60" t="n"/>
      <c r="U190" s="60" t="n"/>
      <c r="V190" s="60" t="n"/>
      <c r="W190" s="60" t="n"/>
      <c r="X190" s="62" t="n"/>
      <c r="Y190" s="63">
        <f>IF($A190="","",IF(OR($W190&lt;&gt;"Yes",$X190="",TODAY()-$X190&gt;90),"At Risk","Not At Risk"))</f>
        <v/>
      </c>
      <c r="Z190" s="61" t="n"/>
    </row>
    <row r="191" ht="15" customHeight="1" s="39">
      <c r="A191" s="60" t="n"/>
      <c r="B191" s="60" t="n"/>
      <c r="C191" s="60" t="n"/>
      <c r="D191" s="60" t="n"/>
      <c r="E191" s="60" t="n"/>
      <c r="F191" s="61" t="n"/>
      <c r="G191" s="60" t="n"/>
      <c r="H191" s="60" t="n"/>
      <c r="I191" s="60" t="n"/>
      <c r="J191" s="61" t="n"/>
      <c r="K191" s="60" t="n"/>
      <c r="L191" s="60" t="n"/>
      <c r="M191" s="60" t="n"/>
      <c r="N191" s="60" t="n"/>
      <c r="O191" s="61" t="n"/>
      <c r="P191" s="60" t="n"/>
      <c r="Q191" s="60" t="n"/>
      <c r="R191" s="60" t="n"/>
      <c r="S191" s="60" t="n"/>
      <c r="T191" s="60" t="n"/>
      <c r="U191" s="60" t="n"/>
      <c r="V191" s="60" t="n"/>
      <c r="W191" s="60" t="n"/>
      <c r="X191" s="62" t="n"/>
      <c r="Y191" s="63">
        <f>IF($A191="","",IF(OR($W191&lt;&gt;"Yes",$X191="",TODAY()-$X191&gt;90),"At Risk","Not At Risk"))</f>
        <v/>
      </c>
      <c r="Z191" s="61" t="n"/>
    </row>
    <row r="192" ht="15" customHeight="1" s="39">
      <c r="A192" s="60" t="n"/>
      <c r="B192" s="60" t="n"/>
      <c r="C192" s="60" t="n"/>
      <c r="D192" s="60" t="n"/>
      <c r="E192" s="60" t="n"/>
      <c r="F192" s="61" t="n"/>
      <c r="G192" s="60" t="n"/>
      <c r="H192" s="60" t="n"/>
      <c r="I192" s="60" t="n"/>
      <c r="J192" s="61" t="n"/>
      <c r="K192" s="60" t="n"/>
      <c r="L192" s="60" t="n"/>
      <c r="M192" s="60" t="n"/>
      <c r="N192" s="60" t="n"/>
      <c r="O192" s="61" t="n"/>
      <c r="P192" s="60" t="n"/>
      <c r="Q192" s="60" t="n"/>
      <c r="R192" s="60" t="n"/>
      <c r="S192" s="60" t="n"/>
      <c r="T192" s="60" t="n"/>
      <c r="U192" s="60" t="n"/>
      <c r="V192" s="60" t="n"/>
      <c r="W192" s="60" t="n"/>
      <c r="X192" s="62" t="n"/>
      <c r="Y192" s="63">
        <f>IF($A192="","",IF(OR($W192&lt;&gt;"Yes",$X192="",TODAY()-$X192&gt;90),"At Risk","Not At Risk"))</f>
        <v/>
      </c>
      <c r="Z192" s="61" t="n"/>
    </row>
    <row r="193" ht="15" customHeight="1" s="39">
      <c r="A193" s="60" t="n"/>
      <c r="B193" s="60" t="n"/>
      <c r="C193" s="60" t="n"/>
      <c r="D193" s="60" t="n"/>
      <c r="E193" s="60" t="n"/>
      <c r="F193" s="61" t="n"/>
      <c r="G193" s="60" t="n"/>
      <c r="H193" s="60" t="n"/>
      <c r="I193" s="60" t="n"/>
      <c r="J193" s="61" t="n"/>
      <c r="K193" s="60" t="n"/>
      <c r="L193" s="60" t="n"/>
      <c r="M193" s="60" t="n"/>
      <c r="N193" s="60" t="n"/>
      <c r="O193" s="61" t="n"/>
      <c r="P193" s="60" t="n"/>
      <c r="Q193" s="60" t="n"/>
      <c r="R193" s="60" t="n"/>
      <c r="S193" s="60" t="n"/>
      <c r="T193" s="60" t="n"/>
      <c r="U193" s="60" t="n"/>
      <c r="V193" s="60" t="n"/>
      <c r="W193" s="60" t="n"/>
      <c r="X193" s="62" t="n"/>
      <c r="Y193" s="63">
        <f>IF($A193="","",IF(OR($W193&lt;&gt;"Yes",$X193="",TODAY()-$X193&gt;90),"At Risk","Not At Risk"))</f>
        <v/>
      </c>
      <c r="Z193" s="61" t="n"/>
    </row>
    <row r="194" ht="15" customHeight="1" s="39">
      <c r="A194" s="60" t="n"/>
      <c r="B194" s="60" t="n"/>
      <c r="C194" s="60" t="n"/>
      <c r="D194" s="60" t="n"/>
      <c r="E194" s="60" t="n"/>
      <c r="F194" s="61" t="n"/>
      <c r="G194" s="60" t="n"/>
      <c r="H194" s="60" t="n"/>
      <c r="I194" s="60" t="n"/>
      <c r="J194" s="61" t="n"/>
      <c r="K194" s="60" t="n"/>
      <c r="L194" s="60" t="n"/>
      <c r="M194" s="60" t="n"/>
      <c r="N194" s="60" t="n"/>
      <c r="O194" s="61" t="n"/>
      <c r="P194" s="60" t="n"/>
      <c r="Q194" s="60" t="n"/>
      <c r="R194" s="60" t="n"/>
      <c r="S194" s="60" t="n"/>
      <c r="T194" s="60" t="n"/>
      <c r="U194" s="60" t="n"/>
      <c r="V194" s="60" t="n"/>
      <c r="W194" s="60" t="n"/>
      <c r="X194" s="62" t="n"/>
      <c r="Y194" s="63">
        <f>IF($A194="","",IF(OR($W194&lt;&gt;"Yes",$X194="",TODAY()-$X194&gt;90),"At Risk","Not At Risk"))</f>
        <v/>
      </c>
      <c r="Z194" s="61" t="n"/>
    </row>
    <row r="195" ht="15" customHeight="1" s="39">
      <c r="A195" s="60" t="n"/>
      <c r="B195" s="60" t="n"/>
      <c r="C195" s="60" t="n"/>
      <c r="D195" s="60" t="n"/>
      <c r="E195" s="60" t="n"/>
      <c r="F195" s="61" t="n"/>
      <c r="G195" s="60" t="n"/>
      <c r="H195" s="60" t="n"/>
      <c r="I195" s="60" t="n"/>
      <c r="J195" s="61" t="n"/>
      <c r="K195" s="60" t="n"/>
      <c r="L195" s="60" t="n"/>
      <c r="M195" s="60" t="n"/>
      <c r="N195" s="60" t="n"/>
      <c r="O195" s="61" t="n"/>
      <c r="P195" s="60" t="n"/>
      <c r="Q195" s="60" t="n"/>
      <c r="R195" s="60" t="n"/>
      <c r="S195" s="60" t="n"/>
      <c r="T195" s="60" t="n"/>
      <c r="U195" s="60" t="n"/>
      <c r="V195" s="60" t="n"/>
      <c r="W195" s="60" t="n"/>
      <c r="X195" s="62" t="n"/>
      <c r="Y195" s="63">
        <f>IF($A195="","",IF(OR($W195&lt;&gt;"Yes",$X195="",TODAY()-$X195&gt;90),"At Risk","Not At Risk"))</f>
        <v/>
      </c>
      <c r="Z195" s="61" t="n"/>
    </row>
    <row r="196" ht="15" customHeight="1" s="39">
      <c r="A196" s="60" t="n"/>
      <c r="B196" s="60" t="n"/>
      <c r="C196" s="60" t="n"/>
      <c r="D196" s="60" t="n"/>
      <c r="E196" s="60" t="n"/>
      <c r="F196" s="61" t="n"/>
      <c r="G196" s="60" t="n"/>
      <c r="H196" s="60" t="n"/>
      <c r="I196" s="60" t="n"/>
      <c r="J196" s="61" t="n"/>
      <c r="K196" s="60" t="n"/>
      <c r="L196" s="60" t="n"/>
      <c r="M196" s="60" t="n"/>
      <c r="N196" s="60" t="n"/>
      <c r="O196" s="61" t="n"/>
      <c r="P196" s="60" t="n"/>
      <c r="Q196" s="60" t="n"/>
      <c r="R196" s="60" t="n"/>
      <c r="S196" s="60" t="n"/>
      <c r="T196" s="60" t="n"/>
      <c r="U196" s="60" t="n"/>
      <c r="V196" s="60" t="n"/>
      <c r="W196" s="60" t="n"/>
      <c r="X196" s="62" t="n"/>
      <c r="Y196" s="63">
        <f>IF($A196="","",IF(OR($W196&lt;&gt;"Yes",$X196="",TODAY()-$X196&gt;90),"At Risk","Not At Risk"))</f>
        <v/>
      </c>
      <c r="Z196" s="61" t="n"/>
    </row>
    <row r="197" ht="15" customHeight="1" s="39">
      <c r="A197" s="60" t="n"/>
      <c r="B197" s="60" t="n"/>
      <c r="C197" s="60" t="n"/>
      <c r="D197" s="60" t="n"/>
      <c r="E197" s="60" t="n"/>
      <c r="F197" s="61" t="n"/>
      <c r="G197" s="60" t="n"/>
      <c r="H197" s="60" t="n"/>
      <c r="I197" s="60" t="n"/>
      <c r="J197" s="61" t="n"/>
      <c r="K197" s="60" t="n"/>
      <c r="L197" s="60" t="n"/>
      <c r="M197" s="60" t="n"/>
      <c r="N197" s="60" t="n"/>
      <c r="O197" s="61" t="n"/>
      <c r="P197" s="60" t="n"/>
      <c r="Q197" s="60" t="n"/>
      <c r="R197" s="60" t="n"/>
      <c r="S197" s="60" t="n"/>
      <c r="T197" s="60" t="n"/>
      <c r="U197" s="60" t="n"/>
      <c r="V197" s="60" t="n"/>
      <c r="W197" s="60" t="n"/>
      <c r="X197" s="62" t="n"/>
      <c r="Y197" s="63">
        <f>IF($A197="","",IF(OR($W197&lt;&gt;"Yes",$X197="",TODAY()-$X197&gt;90),"At Risk","Not At Risk"))</f>
        <v/>
      </c>
      <c r="Z197" s="61" t="n"/>
    </row>
    <row r="198" ht="15" customHeight="1" s="39">
      <c r="A198" s="60" t="n"/>
      <c r="B198" s="60" t="n"/>
      <c r="C198" s="60" t="n"/>
      <c r="D198" s="60" t="n"/>
      <c r="E198" s="60" t="n"/>
      <c r="F198" s="61" t="n"/>
      <c r="G198" s="60" t="n"/>
      <c r="H198" s="60" t="n"/>
      <c r="I198" s="60" t="n"/>
      <c r="J198" s="61" t="n"/>
      <c r="K198" s="60" t="n"/>
      <c r="L198" s="60" t="n"/>
      <c r="M198" s="60" t="n"/>
      <c r="N198" s="60" t="n"/>
      <c r="O198" s="61" t="n"/>
      <c r="P198" s="60" t="n"/>
      <c r="Q198" s="60" t="n"/>
      <c r="R198" s="60" t="n"/>
      <c r="S198" s="60" t="n"/>
      <c r="T198" s="60" t="n"/>
      <c r="U198" s="60" t="n"/>
      <c r="V198" s="60" t="n"/>
      <c r="W198" s="60" t="n"/>
      <c r="X198" s="62" t="n"/>
      <c r="Y198" s="63">
        <f>IF($A198="","",IF(OR($W198&lt;&gt;"Yes",$X198="",TODAY()-$X198&gt;90),"At Risk","Not At Risk"))</f>
        <v/>
      </c>
      <c r="Z198" s="61" t="n"/>
    </row>
    <row r="199" ht="15" customHeight="1" s="39">
      <c r="A199" s="60" t="n"/>
      <c r="B199" s="60" t="n"/>
      <c r="C199" s="60" t="n"/>
      <c r="D199" s="60" t="n"/>
      <c r="E199" s="60" t="n"/>
      <c r="F199" s="61" t="n"/>
      <c r="G199" s="60" t="n"/>
      <c r="H199" s="60" t="n"/>
      <c r="I199" s="60" t="n"/>
      <c r="J199" s="61" t="n"/>
      <c r="K199" s="60" t="n"/>
      <c r="L199" s="60" t="n"/>
      <c r="M199" s="60" t="n"/>
      <c r="N199" s="60" t="n"/>
      <c r="O199" s="61" t="n"/>
      <c r="P199" s="60" t="n"/>
      <c r="Q199" s="60" t="n"/>
      <c r="R199" s="60" t="n"/>
      <c r="S199" s="60" t="n"/>
      <c r="T199" s="60" t="n"/>
      <c r="U199" s="60" t="n"/>
      <c r="V199" s="60" t="n"/>
      <c r="W199" s="60" t="n"/>
      <c r="X199" s="62" t="n"/>
      <c r="Y199" s="63">
        <f>IF($A199="","",IF(OR($W199&lt;&gt;"Yes",$X199="",TODAY()-$X199&gt;90),"At Risk","Not At Risk"))</f>
        <v/>
      </c>
      <c r="Z199" s="61" t="n"/>
    </row>
    <row r="200" ht="15" customHeight="1" s="39">
      <c r="A200" s="60" t="n"/>
      <c r="B200" s="60" t="n"/>
      <c r="C200" s="60" t="n"/>
      <c r="D200" s="60" t="n"/>
      <c r="E200" s="60" t="n"/>
      <c r="F200" s="61" t="n"/>
      <c r="G200" s="60" t="n"/>
      <c r="H200" s="60" t="n"/>
      <c r="I200" s="60" t="n"/>
      <c r="J200" s="61" t="n"/>
      <c r="K200" s="60" t="n"/>
      <c r="L200" s="60" t="n"/>
      <c r="M200" s="60" t="n"/>
      <c r="N200" s="60" t="n"/>
      <c r="O200" s="61" t="n"/>
      <c r="P200" s="60" t="n"/>
      <c r="Q200" s="60" t="n"/>
      <c r="R200" s="60" t="n"/>
      <c r="S200" s="60" t="n"/>
      <c r="T200" s="60" t="n"/>
      <c r="U200" s="60" t="n"/>
      <c r="V200" s="60" t="n"/>
      <c r="W200" s="60" t="n"/>
      <c r="X200" s="62" t="n"/>
      <c r="Y200" s="63">
        <f>IF($A200="","",IF(OR($W200&lt;&gt;"Yes",$X200="",TODAY()-$X200&gt;90),"At Risk","Not At Risk"))</f>
        <v/>
      </c>
      <c r="Z200" s="61" t="n"/>
    </row>
    <row r="201" ht="15" customHeight="1" s="39">
      <c r="A201" s="60" t="n"/>
      <c r="B201" s="60" t="n"/>
      <c r="C201" s="60" t="n"/>
      <c r="D201" s="60" t="n"/>
      <c r="E201" s="60" t="n"/>
      <c r="F201" s="61" t="n"/>
      <c r="G201" s="60" t="n"/>
      <c r="H201" s="60" t="n"/>
      <c r="I201" s="60" t="n"/>
      <c r="J201" s="61" t="n"/>
      <c r="K201" s="60" t="n"/>
      <c r="L201" s="60" t="n"/>
      <c r="M201" s="60" t="n"/>
      <c r="N201" s="60" t="n"/>
      <c r="O201" s="61" t="n"/>
      <c r="P201" s="60" t="n"/>
      <c r="Q201" s="60" t="n"/>
      <c r="R201" s="60" t="n"/>
      <c r="S201" s="60" t="n"/>
      <c r="T201" s="60" t="n"/>
      <c r="U201" s="60" t="n"/>
      <c r="V201" s="60" t="n"/>
      <c r="W201" s="60" t="n"/>
      <c r="X201" s="62" t="n"/>
      <c r="Y201" s="63">
        <f>IF($A201="","",IF(OR($W201&lt;&gt;"Yes",$X201="",TODAY()-$X201&gt;90),"At Risk","Not At Risk"))</f>
        <v/>
      </c>
      <c r="Z201" s="61" t="n"/>
    </row>
    <row r="202" ht="15" customHeight="1" s="39">
      <c r="A202" s="60" t="n"/>
      <c r="B202" s="60" t="n"/>
      <c r="C202" s="60" t="n"/>
      <c r="D202" s="60" t="n"/>
      <c r="E202" s="60" t="n"/>
      <c r="F202" s="61" t="n"/>
      <c r="G202" s="60" t="n"/>
      <c r="H202" s="60" t="n"/>
      <c r="I202" s="60" t="n"/>
      <c r="J202" s="61" t="n"/>
      <c r="K202" s="60" t="n"/>
      <c r="L202" s="60" t="n"/>
      <c r="M202" s="60" t="n"/>
      <c r="N202" s="60" t="n"/>
      <c r="O202" s="61" t="n"/>
      <c r="P202" s="60" t="n"/>
      <c r="Q202" s="60" t="n"/>
      <c r="R202" s="60" t="n"/>
      <c r="S202" s="60" t="n"/>
      <c r="T202" s="60" t="n"/>
      <c r="U202" s="60" t="n"/>
      <c r="V202" s="60" t="n"/>
      <c r="W202" s="60" t="n"/>
      <c r="X202" s="62" t="n"/>
      <c r="Y202" s="63">
        <f>IF($A202="","",IF(OR($W202&lt;&gt;"Yes",$X202="",TODAY()-$X202&gt;90),"At Risk","Not At Risk"))</f>
        <v/>
      </c>
      <c r="Z202" s="61" t="n"/>
    </row>
    <row r="203" ht="15" customHeight="1" s="39">
      <c r="A203" s="60" t="n"/>
      <c r="B203" s="60" t="n"/>
      <c r="C203" s="60" t="n"/>
      <c r="D203" s="60" t="n"/>
      <c r="E203" s="60" t="n"/>
      <c r="F203" s="61" t="n"/>
      <c r="G203" s="60" t="n"/>
      <c r="H203" s="60" t="n"/>
      <c r="I203" s="60" t="n"/>
      <c r="J203" s="61" t="n"/>
      <c r="K203" s="60" t="n"/>
      <c r="L203" s="60" t="n"/>
      <c r="M203" s="60" t="n"/>
      <c r="N203" s="60" t="n"/>
      <c r="O203" s="61" t="n"/>
      <c r="P203" s="60" t="n"/>
      <c r="Q203" s="60" t="n"/>
      <c r="R203" s="60" t="n"/>
      <c r="S203" s="60" t="n"/>
      <c r="T203" s="60" t="n"/>
      <c r="U203" s="60" t="n"/>
      <c r="V203" s="60" t="n"/>
      <c r="W203" s="60" t="n"/>
      <c r="X203" s="62" t="n"/>
      <c r="Y203" s="63">
        <f>IF($A203="","",IF(OR($W203&lt;&gt;"Yes",$X203="",TODAY()-$X203&gt;90),"At Risk","Not At Risk"))</f>
        <v/>
      </c>
      <c r="Z203" s="61" t="n"/>
    </row>
    <row r="204" ht="15" customHeight="1" s="39">
      <c r="A204" s="60" t="n"/>
      <c r="B204" s="60" t="n"/>
      <c r="C204" s="60" t="n"/>
      <c r="D204" s="60" t="n"/>
      <c r="E204" s="60" t="n"/>
      <c r="F204" s="61" t="n"/>
      <c r="G204" s="60" t="n"/>
      <c r="H204" s="60" t="n"/>
      <c r="I204" s="60" t="n"/>
      <c r="J204" s="61" t="n"/>
      <c r="K204" s="60" t="n"/>
      <c r="L204" s="60" t="n"/>
      <c r="M204" s="60" t="n"/>
      <c r="N204" s="60" t="n"/>
      <c r="O204" s="61" t="n"/>
      <c r="P204" s="60" t="n"/>
      <c r="Q204" s="60" t="n"/>
      <c r="R204" s="60" t="n"/>
      <c r="S204" s="60" t="n"/>
      <c r="T204" s="60" t="n"/>
      <c r="U204" s="60" t="n"/>
      <c r="V204" s="60" t="n"/>
      <c r="W204" s="60" t="n"/>
      <c r="X204" s="62" t="n"/>
      <c r="Y204" s="63">
        <f>IF($A204="","",IF(OR($W204&lt;&gt;"Yes",$X204="",TODAY()-$X204&gt;90),"At Risk","Not At Risk"))</f>
        <v/>
      </c>
      <c r="Z204" s="61" t="n"/>
    </row>
    <row r="205" ht="15" customHeight="1" s="39">
      <c r="A205" s="60" t="n"/>
      <c r="B205" s="60" t="n"/>
      <c r="C205" s="60" t="n"/>
      <c r="D205" s="60" t="n"/>
      <c r="E205" s="60" t="n"/>
      <c r="F205" s="61" t="n"/>
      <c r="G205" s="60" t="n"/>
      <c r="H205" s="60" t="n"/>
      <c r="I205" s="60" t="n"/>
      <c r="J205" s="61" t="n"/>
      <c r="K205" s="60" t="n"/>
      <c r="L205" s="60" t="n"/>
      <c r="M205" s="60" t="n"/>
      <c r="N205" s="60" t="n"/>
      <c r="O205" s="61" t="n"/>
      <c r="P205" s="60" t="n"/>
      <c r="Q205" s="60" t="n"/>
      <c r="R205" s="60" t="n"/>
      <c r="S205" s="60" t="n"/>
      <c r="T205" s="60" t="n"/>
      <c r="U205" s="60" t="n"/>
      <c r="V205" s="60" t="n"/>
      <c r="W205" s="60" t="n"/>
      <c r="X205" s="62" t="n"/>
      <c r="Y205" s="63">
        <f>IF($A205="","",IF(OR($W205&lt;&gt;"Yes",$X205="",TODAY()-$X205&gt;90),"At Risk","Not At Risk"))</f>
        <v/>
      </c>
      <c r="Z205" s="61" t="n"/>
    </row>
    <row r="206" ht="15" customHeight="1" s="39">
      <c r="A206" s="60" t="n"/>
      <c r="B206" s="60" t="n"/>
      <c r="C206" s="60" t="n"/>
      <c r="D206" s="60" t="n"/>
      <c r="E206" s="60" t="n"/>
      <c r="F206" s="61" t="n"/>
      <c r="G206" s="60" t="n"/>
      <c r="H206" s="60" t="n"/>
      <c r="I206" s="60" t="n"/>
      <c r="J206" s="61" t="n"/>
      <c r="K206" s="60" t="n"/>
      <c r="L206" s="60" t="n"/>
      <c r="M206" s="60" t="n"/>
      <c r="N206" s="60" t="n"/>
      <c r="O206" s="61" t="n"/>
      <c r="P206" s="60" t="n"/>
      <c r="Q206" s="60" t="n"/>
      <c r="R206" s="60" t="n"/>
      <c r="S206" s="60" t="n"/>
      <c r="T206" s="60" t="n"/>
      <c r="U206" s="60" t="n"/>
      <c r="V206" s="60" t="n"/>
      <c r="W206" s="60" t="n"/>
      <c r="X206" s="62" t="n"/>
      <c r="Y206" s="63">
        <f>IF($A206="","",IF(OR($W206&lt;&gt;"Yes",$X206="",TODAY()-$X206&gt;90),"At Risk","Not At Risk"))</f>
        <v/>
      </c>
      <c r="Z206" s="61" t="n"/>
    </row>
    <row r="207" ht="15" customHeight="1" s="39">
      <c r="A207" s="60" t="n"/>
      <c r="B207" s="60" t="n"/>
      <c r="C207" s="60" t="n"/>
      <c r="D207" s="60" t="n"/>
      <c r="E207" s="60" t="n"/>
      <c r="F207" s="61" t="n"/>
      <c r="G207" s="60" t="n"/>
      <c r="H207" s="60" t="n"/>
      <c r="I207" s="60" t="n"/>
      <c r="J207" s="61" t="n"/>
      <c r="K207" s="60" t="n"/>
      <c r="L207" s="60" t="n"/>
      <c r="M207" s="60" t="n"/>
      <c r="N207" s="60" t="n"/>
      <c r="O207" s="61" t="n"/>
      <c r="P207" s="60" t="n"/>
      <c r="Q207" s="60" t="n"/>
      <c r="R207" s="60" t="n"/>
      <c r="S207" s="60" t="n"/>
      <c r="T207" s="60" t="n"/>
      <c r="U207" s="60" t="n"/>
      <c r="V207" s="60" t="n"/>
      <c r="W207" s="60" t="n"/>
      <c r="X207" s="62" t="n"/>
      <c r="Y207" s="63">
        <f>IF($A207="","",IF(OR($W207&lt;&gt;"Yes",$X207="",TODAY()-$X207&gt;90),"At Risk","Not At Risk"))</f>
        <v/>
      </c>
      <c r="Z207" s="61" t="n"/>
    </row>
    <row r="208" ht="15" customHeight="1" s="39">
      <c r="A208" s="60" t="n"/>
      <c r="B208" s="60" t="n"/>
      <c r="C208" s="60" t="n"/>
      <c r="D208" s="60" t="n"/>
      <c r="E208" s="60" t="n"/>
      <c r="F208" s="61" t="n"/>
      <c r="G208" s="60" t="n"/>
      <c r="H208" s="60" t="n"/>
      <c r="I208" s="60" t="n"/>
      <c r="J208" s="61" t="n"/>
      <c r="K208" s="60" t="n"/>
      <c r="L208" s="60" t="n"/>
      <c r="M208" s="60" t="n"/>
      <c r="N208" s="60" t="n"/>
      <c r="O208" s="61" t="n"/>
      <c r="P208" s="60" t="n"/>
      <c r="Q208" s="60" t="n"/>
      <c r="R208" s="60" t="n"/>
      <c r="S208" s="60" t="n"/>
      <c r="T208" s="60" t="n"/>
      <c r="U208" s="60" t="n"/>
      <c r="V208" s="60" t="n"/>
      <c r="W208" s="60" t="n"/>
      <c r="X208" s="62" t="n"/>
      <c r="Y208" s="63">
        <f>IF($A208="","",IF(OR($W208&lt;&gt;"Yes",$X208="",TODAY()-$X208&gt;90),"At Risk","Not At Risk"))</f>
        <v/>
      </c>
      <c r="Z208" s="61" t="n"/>
    </row>
    <row r="209" ht="15" customHeight="1" s="39">
      <c r="A209" s="60" t="n"/>
      <c r="B209" s="60" t="n"/>
      <c r="C209" s="60" t="n"/>
      <c r="D209" s="60" t="n"/>
      <c r="E209" s="60" t="n"/>
      <c r="F209" s="61" t="n"/>
      <c r="G209" s="60" t="n"/>
      <c r="H209" s="60" t="n"/>
      <c r="I209" s="60" t="n"/>
      <c r="J209" s="61" t="n"/>
      <c r="K209" s="60" t="n"/>
      <c r="L209" s="60" t="n"/>
      <c r="M209" s="60" t="n"/>
      <c r="N209" s="60" t="n"/>
      <c r="O209" s="61" t="n"/>
      <c r="P209" s="60" t="n"/>
      <c r="Q209" s="60" t="n"/>
      <c r="R209" s="60" t="n"/>
      <c r="S209" s="60" t="n"/>
      <c r="T209" s="60" t="n"/>
      <c r="U209" s="60" t="n"/>
      <c r="V209" s="60" t="n"/>
      <c r="W209" s="60" t="n"/>
      <c r="X209" s="62" t="n"/>
      <c r="Y209" s="63">
        <f>IF($A209="","",IF(OR($W209&lt;&gt;"Yes",$X209="",TODAY()-$X209&gt;90),"At Risk","Not At Risk"))</f>
        <v/>
      </c>
      <c r="Z209" s="61" t="n"/>
    </row>
    <row r="210" ht="15" customHeight="1" s="39">
      <c r="A210" s="60" t="n"/>
      <c r="B210" s="60" t="n"/>
      <c r="C210" s="60" t="n"/>
      <c r="D210" s="60" t="n"/>
      <c r="E210" s="60" t="n"/>
      <c r="F210" s="61" t="n"/>
      <c r="G210" s="60" t="n"/>
      <c r="H210" s="60" t="n"/>
      <c r="I210" s="60" t="n"/>
      <c r="J210" s="61" t="n"/>
      <c r="K210" s="60" t="n"/>
      <c r="L210" s="60" t="n"/>
      <c r="M210" s="60" t="n"/>
      <c r="N210" s="60" t="n"/>
      <c r="O210" s="61" t="n"/>
      <c r="P210" s="60" t="n"/>
      <c r="Q210" s="60" t="n"/>
      <c r="R210" s="60" t="n"/>
      <c r="S210" s="60" t="n"/>
      <c r="T210" s="60" t="n"/>
      <c r="U210" s="60" t="n"/>
      <c r="V210" s="60" t="n"/>
      <c r="W210" s="60" t="n"/>
      <c r="X210" s="62" t="n"/>
      <c r="Y210" s="63">
        <f>IF($A210="","",IF(OR($W210&lt;&gt;"Yes",$X210="",TODAY()-$X210&gt;90),"At Risk","Not At Risk"))</f>
        <v/>
      </c>
      <c r="Z210" s="61" t="n"/>
    </row>
    <row r="211" ht="15" customHeight="1" s="39">
      <c r="A211" s="60" t="n"/>
      <c r="B211" s="60" t="n"/>
      <c r="C211" s="60" t="n"/>
      <c r="D211" s="60" t="n"/>
      <c r="E211" s="60" t="n"/>
      <c r="F211" s="61" t="n"/>
      <c r="G211" s="60" t="n"/>
      <c r="H211" s="60" t="n"/>
      <c r="I211" s="60" t="n"/>
      <c r="J211" s="61" t="n"/>
      <c r="K211" s="60" t="n"/>
      <c r="L211" s="60" t="n"/>
      <c r="M211" s="60" t="n"/>
      <c r="N211" s="60" t="n"/>
      <c r="O211" s="61" t="n"/>
      <c r="P211" s="60" t="n"/>
      <c r="Q211" s="60" t="n"/>
      <c r="R211" s="60" t="n"/>
      <c r="S211" s="60" t="n"/>
      <c r="T211" s="60" t="n"/>
      <c r="U211" s="60" t="n"/>
      <c r="V211" s="60" t="n"/>
      <c r="W211" s="60" t="n"/>
      <c r="X211" s="62" t="n"/>
      <c r="Y211" s="63">
        <f>IF($A211="","",IF(OR($W211&lt;&gt;"Yes",$X211="",TODAY()-$X211&gt;90),"At Risk","Not At Risk"))</f>
        <v/>
      </c>
      <c r="Z211" s="61" t="n"/>
    </row>
    <row r="212" ht="15" customHeight="1" s="39">
      <c r="A212" s="60" t="n"/>
      <c r="B212" s="60" t="n"/>
      <c r="C212" s="60" t="n"/>
      <c r="D212" s="60" t="n"/>
      <c r="E212" s="60" t="n"/>
      <c r="F212" s="61" t="n"/>
      <c r="G212" s="60" t="n"/>
      <c r="H212" s="60" t="n"/>
      <c r="I212" s="60" t="n"/>
      <c r="J212" s="61" t="n"/>
      <c r="K212" s="60" t="n"/>
      <c r="L212" s="60" t="n"/>
      <c r="M212" s="60" t="n"/>
      <c r="N212" s="60" t="n"/>
      <c r="O212" s="61" t="n"/>
      <c r="P212" s="60" t="n"/>
      <c r="Q212" s="60" t="n"/>
      <c r="R212" s="60" t="n"/>
      <c r="S212" s="60" t="n"/>
      <c r="T212" s="60" t="n"/>
      <c r="U212" s="60" t="n"/>
      <c r="V212" s="60" t="n"/>
      <c r="W212" s="60" t="n"/>
      <c r="X212" s="62" t="n"/>
      <c r="Y212" s="63">
        <f>IF($A212="","",IF(OR($W212&lt;&gt;"Yes",$X212="",TODAY()-$X212&gt;90),"At Risk","Not At Risk"))</f>
        <v/>
      </c>
      <c r="Z212" s="61" t="n"/>
    </row>
    <row r="213" ht="15" customHeight="1" s="39">
      <c r="A213" s="60" t="n"/>
      <c r="B213" s="60" t="n"/>
      <c r="C213" s="60" t="n"/>
      <c r="D213" s="60" t="n"/>
      <c r="E213" s="60" t="n"/>
      <c r="F213" s="61" t="n"/>
      <c r="G213" s="60" t="n"/>
      <c r="H213" s="60" t="n"/>
      <c r="I213" s="60" t="n"/>
      <c r="J213" s="61" t="n"/>
      <c r="K213" s="60" t="n"/>
      <c r="L213" s="60" t="n"/>
      <c r="M213" s="60" t="n"/>
      <c r="N213" s="60" t="n"/>
      <c r="O213" s="61" t="n"/>
      <c r="P213" s="60" t="n"/>
      <c r="Q213" s="60" t="n"/>
      <c r="R213" s="60" t="n"/>
      <c r="S213" s="60" t="n"/>
      <c r="T213" s="60" t="n"/>
      <c r="U213" s="60" t="n"/>
      <c r="V213" s="60" t="n"/>
      <c r="W213" s="60" t="n"/>
      <c r="X213" s="62" t="n"/>
      <c r="Y213" s="63">
        <f>IF($A213="","",IF(OR($W213&lt;&gt;"Yes",$X213="",TODAY()-$X213&gt;90),"At Risk","Not At Risk"))</f>
        <v/>
      </c>
      <c r="Z213" s="61" t="n"/>
    </row>
    <row r="214" ht="15" customHeight="1" s="39">
      <c r="A214" s="60" t="n"/>
      <c r="B214" s="60" t="n"/>
      <c r="C214" s="60" t="n"/>
      <c r="D214" s="60" t="n"/>
      <c r="E214" s="60" t="n"/>
      <c r="F214" s="61" t="n"/>
      <c r="G214" s="60" t="n"/>
      <c r="H214" s="60" t="n"/>
      <c r="I214" s="60" t="n"/>
      <c r="J214" s="61" t="n"/>
      <c r="K214" s="60" t="n"/>
      <c r="L214" s="60" t="n"/>
      <c r="M214" s="60" t="n"/>
      <c r="N214" s="60" t="n"/>
      <c r="O214" s="61" t="n"/>
      <c r="P214" s="60" t="n"/>
      <c r="Q214" s="60" t="n"/>
      <c r="R214" s="60" t="n"/>
      <c r="S214" s="60" t="n"/>
      <c r="T214" s="60" t="n"/>
      <c r="U214" s="60" t="n"/>
      <c r="V214" s="60" t="n"/>
      <c r="W214" s="60" t="n"/>
      <c r="X214" s="62" t="n"/>
      <c r="Y214" s="63">
        <f>IF($A214="","",IF(OR($W214&lt;&gt;"Yes",$X214="",TODAY()-$X214&gt;90),"At Risk","Not At Risk"))</f>
        <v/>
      </c>
      <c r="Z214" s="61" t="n"/>
    </row>
    <row r="215" ht="15" customHeight="1" s="39">
      <c r="A215" s="60" t="n"/>
      <c r="B215" s="60" t="n"/>
      <c r="C215" s="60" t="n"/>
      <c r="D215" s="60" t="n"/>
      <c r="E215" s="60" t="n"/>
      <c r="F215" s="61" t="n"/>
      <c r="G215" s="60" t="n"/>
      <c r="H215" s="60" t="n"/>
      <c r="I215" s="60" t="n"/>
      <c r="J215" s="61" t="n"/>
      <c r="K215" s="60" t="n"/>
      <c r="L215" s="60" t="n"/>
      <c r="M215" s="60" t="n"/>
      <c r="N215" s="60" t="n"/>
      <c r="O215" s="61" t="n"/>
      <c r="P215" s="60" t="n"/>
      <c r="Q215" s="60" t="n"/>
      <c r="R215" s="60" t="n"/>
      <c r="S215" s="60" t="n"/>
      <c r="T215" s="60" t="n"/>
      <c r="U215" s="60" t="n"/>
      <c r="V215" s="60" t="n"/>
      <c r="W215" s="60" t="n"/>
      <c r="X215" s="62" t="n"/>
      <c r="Y215" s="63">
        <f>IF($A215="","",IF(OR($W215&lt;&gt;"Yes",$X215="",TODAY()-$X215&gt;90),"At Risk","Not At Risk"))</f>
        <v/>
      </c>
      <c r="Z215" s="61" t="n"/>
    </row>
    <row r="216" ht="15" customHeight="1" s="39">
      <c r="A216" s="60" t="n"/>
      <c r="B216" s="60" t="n"/>
      <c r="C216" s="60" t="n"/>
      <c r="D216" s="60" t="n"/>
      <c r="E216" s="60" t="n"/>
      <c r="F216" s="61" t="n"/>
      <c r="G216" s="60" t="n"/>
      <c r="H216" s="60" t="n"/>
      <c r="I216" s="60" t="n"/>
      <c r="J216" s="61" t="n"/>
      <c r="K216" s="60" t="n"/>
      <c r="L216" s="60" t="n"/>
      <c r="M216" s="60" t="n"/>
      <c r="N216" s="60" t="n"/>
      <c r="O216" s="61" t="n"/>
      <c r="P216" s="60" t="n"/>
      <c r="Q216" s="60" t="n"/>
      <c r="R216" s="60" t="n"/>
      <c r="S216" s="60" t="n"/>
      <c r="T216" s="60" t="n"/>
      <c r="U216" s="60" t="n"/>
      <c r="V216" s="60" t="n"/>
      <c r="W216" s="60" t="n"/>
      <c r="X216" s="62" t="n"/>
      <c r="Y216" s="63">
        <f>IF($A216="","",IF(OR($W216&lt;&gt;"Yes",$X216="",TODAY()-$X216&gt;90),"At Risk","Not At Risk"))</f>
        <v/>
      </c>
      <c r="Z216" s="61" t="n"/>
    </row>
    <row r="217" ht="15" customHeight="1" s="39">
      <c r="A217" s="60" t="n"/>
      <c r="B217" s="60" t="n"/>
      <c r="C217" s="60" t="n"/>
      <c r="D217" s="60" t="n"/>
      <c r="E217" s="60" t="n"/>
      <c r="F217" s="61" t="n"/>
      <c r="G217" s="60" t="n"/>
      <c r="H217" s="60" t="n"/>
      <c r="I217" s="60" t="n"/>
      <c r="J217" s="61" t="n"/>
      <c r="K217" s="60" t="n"/>
      <c r="L217" s="60" t="n"/>
      <c r="M217" s="60" t="n"/>
      <c r="N217" s="60" t="n"/>
      <c r="O217" s="61" t="n"/>
      <c r="P217" s="60" t="n"/>
      <c r="Q217" s="60" t="n"/>
      <c r="R217" s="60" t="n"/>
      <c r="S217" s="60" t="n"/>
      <c r="T217" s="60" t="n"/>
      <c r="U217" s="60" t="n"/>
      <c r="V217" s="60" t="n"/>
      <c r="W217" s="60" t="n"/>
      <c r="X217" s="62" t="n"/>
      <c r="Y217" s="63">
        <f>IF($A217="","",IF(OR($W217&lt;&gt;"Yes",$X217="",TODAY()-$X217&gt;90),"At Risk","Not At Risk"))</f>
        <v/>
      </c>
      <c r="Z217" s="61" t="n"/>
    </row>
    <row r="218" ht="15" customHeight="1" s="39">
      <c r="A218" s="60" t="n"/>
      <c r="B218" s="60" t="n"/>
      <c r="C218" s="60" t="n"/>
      <c r="D218" s="60" t="n"/>
      <c r="E218" s="60" t="n"/>
      <c r="F218" s="61" t="n"/>
      <c r="G218" s="60" t="n"/>
      <c r="H218" s="60" t="n"/>
      <c r="I218" s="60" t="n"/>
      <c r="J218" s="61" t="n"/>
      <c r="K218" s="60" t="n"/>
      <c r="L218" s="60" t="n"/>
      <c r="M218" s="60" t="n"/>
      <c r="N218" s="60" t="n"/>
      <c r="O218" s="61" t="n"/>
      <c r="P218" s="60" t="n"/>
      <c r="Q218" s="60" t="n"/>
      <c r="R218" s="60" t="n"/>
      <c r="S218" s="60" t="n"/>
      <c r="T218" s="60" t="n"/>
      <c r="U218" s="60" t="n"/>
      <c r="V218" s="60" t="n"/>
      <c r="W218" s="60" t="n"/>
      <c r="X218" s="62" t="n"/>
      <c r="Y218" s="63">
        <f>IF($A218="","",IF(OR($W218&lt;&gt;"Yes",$X218="",TODAY()-$X218&gt;90),"At Risk","Not At Risk"))</f>
        <v/>
      </c>
      <c r="Z218" s="61" t="n"/>
    </row>
    <row r="219" ht="15" customHeight="1" s="39">
      <c r="A219" s="60" t="n"/>
      <c r="B219" s="60" t="n"/>
      <c r="C219" s="60" t="n"/>
      <c r="D219" s="60" t="n"/>
      <c r="E219" s="60" t="n"/>
      <c r="F219" s="61" t="n"/>
      <c r="G219" s="60" t="n"/>
      <c r="H219" s="60" t="n"/>
      <c r="I219" s="60" t="n"/>
      <c r="J219" s="61" t="n"/>
      <c r="K219" s="60" t="n"/>
      <c r="L219" s="60" t="n"/>
      <c r="M219" s="60" t="n"/>
      <c r="N219" s="60" t="n"/>
      <c r="O219" s="61" t="n"/>
      <c r="P219" s="60" t="n"/>
      <c r="Q219" s="60" t="n"/>
      <c r="R219" s="60" t="n"/>
      <c r="S219" s="60" t="n"/>
      <c r="T219" s="60" t="n"/>
      <c r="U219" s="60" t="n"/>
      <c r="V219" s="60" t="n"/>
      <c r="W219" s="60" t="n"/>
      <c r="X219" s="62" t="n"/>
      <c r="Y219" s="63">
        <f>IF($A219="","",IF(OR($W219&lt;&gt;"Yes",$X219="",TODAY()-$X219&gt;90),"At Risk","Not At Risk"))</f>
        <v/>
      </c>
      <c r="Z219" s="61" t="n"/>
    </row>
    <row r="220" ht="15" customHeight="1" s="39">
      <c r="A220" s="60" t="n"/>
      <c r="B220" s="60" t="n"/>
      <c r="C220" s="60" t="n"/>
      <c r="D220" s="60" t="n"/>
      <c r="E220" s="60" t="n"/>
      <c r="F220" s="61" t="n"/>
      <c r="G220" s="60" t="n"/>
      <c r="H220" s="60" t="n"/>
      <c r="I220" s="60" t="n"/>
      <c r="J220" s="61" t="n"/>
      <c r="K220" s="60" t="n"/>
      <c r="L220" s="60" t="n"/>
      <c r="M220" s="60" t="n"/>
      <c r="N220" s="60" t="n"/>
      <c r="O220" s="61" t="n"/>
      <c r="P220" s="60" t="n"/>
      <c r="Q220" s="60" t="n"/>
      <c r="R220" s="60" t="n"/>
      <c r="S220" s="60" t="n"/>
      <c r="T220" s="60" t="n"/>
      <c r="U220" s="60" t="n"/>
      <c r="V220" s="60" t="n"/>
      <c r="W220" s="60" t="n"/>
      <c r="X220" s="62" t="n"/>
      <c r="Y220" s="63">
        <f>IF($A220="","",IF(OR($W220&lt;&gt;"Yes",$X220="",TODAY()-$X220&gt;90),"At Risk","Not At Risk"))</f>
        <v/>
      </c>
      <c r="Z220" s="61" t="n"/>
    </row>
    <row r="221" ht="15" customHeight="1" s="39">
      <c r="A221" s="60" t="n"/>
      <c r="B221" s="60" t="n"/>
      <c r="C221" s="60" t="n"/>
      <c r="D221" s="60" t="n"/>
      <c r="E221" s="60" t="n"/>
      <c r="F221" s="61" t="n"/>
      <c r="G221" s="60" t="n"/>
      <c r="H221" s="60" t="n"/>
      <c r="I221" s="60" t="n"/>
      <c r="J221" s="61" t="n"/>
      <c r="K221" s="60" t="n"/>
      <c r="L221" s="60" t="n"/>
      <c r="M221" s="60" t="n"/>
      <c r="N221" s="60" t="n"/>
      <c r="O221" s="61" t="n"/>
      <c r="P221" s="60" t="n"/>
      <c r="Q221" s="60" t="n"/>
      <c r="R221" s="60" t="n"/>
      <c r="S221" s="60" t="n"/>
      <c r="T221" s="60" t="n"/>
      <c r="U221" s="60" t="n"/>
      <c r="V221" s="60" t="n"/>
      <c r="W221" s="60" t="n"/>
      <c r="X221" s="62" t="n"/>
      <c r="Y221" s="63">
        <f>IF($A221="","",IF(OR($W221&lt;&gt;"Yes",$X221="",TODAY()-$X221&gt;90),"At Risk","Not At Risk"))</f>
        <v/>
      </c>
      <c r="Z221" s="61" t="n"/>
    </row>
    <row r="222" ht="15" customHeight="1" s="39">
      <c r="A222" s="60" t="n"/>
      <c r="B222" s="60" t="n"/>
      <c r="C222" s="60" t="n"/>
      <c r="D222" s="60" t="n"/>
      <c r="E222" s="60" t="n"/>
      <c r="F222" s="61" t="n"/>
      <c r="G222" s="60" t="n"/>
      <c r="H222" s="60" t="n"/>
      <c r="I222" s="60" t="n"/>
      <c r="J222" s="61" t="n"/>
      <c r="K222" s="60" t="n"/>
      <c r="L222" s="60" t="n"/>
      <c r="M222" s="60" t="n"/>
      <c r="N222" s="60" t="n"/>
      <c r="O222" s="61" t="n"/>
      <c r="P222" s="60" t="n"/>
      <c r="Q222" s="60" t="n"/>
      <c r="R222" s="60" t="n"/>
      <c r="S222" s="60" t="n"/>
      <c r="T222" s="60" t="n"/>
      <c r="U222" s="60" t="n"/>
      <c r="V222" s="60" t="n"/>
      <c r="W222" s="60" t="n"/>
      <c r="X222" s="62" t="n"/>
      <c r="Y222" s="63">
        <f>IF($A222="","",IF(OR($W222&lt;&gt;"Yes",$X222="",TODAY()-$X222&gt;90),"At Risk","Not At Risk"))</f>
        <v/>
      </c>
      <c r="Z222" s="61" t="n"/>
    </row>
    <row r="223" ht="15" customHeight="1" s="39">
      <c r="A223" s="60" t="n"/>
      <c r="B223" s="60" t="n"/>
      <c r="C223" s="60" t="n"/>
      <c r="D223" s="60" t="n"/>
      <c r="E223" s="60" t="n"/>
      <c r="F223" s="61" t="n"/>
      <c r="G223" s="60" t="n"/>
      <c r="H223" s="60" t="n"/>
      <c r="I223" s="60" t="n"/>
      <c r="J223" s="61" t="n"/>
      <c r="K223" s="60" t="n"/>
      <c r="L223" s="60" t="n"/>
      <c r="M223" s="60" t="n"/>
      <c r="N223" s="60" t="n"/>
      <c r="O223" s="61" t="n"/>
      <c r="P223" s="60" t="n"/>
      <c r="Q223" s="60" t="n"/>
      <c r="R223" s="60" t="n"/>
      <c r="S223" s="60" t="n"/>
      <c r="T223" s="60" t="n"/>
      <c r="U223" s="60" t="n"/>
      <c r="V223" s="60" t="n"/>
      <c r="W223" s="60" t="n"/>
      <c r="X223" s="62" t="n"/>
      <c r="Y223" s="63">
        <f>IF($A223="","",IF(OR($W223&lt;&gt;"Yes",$X223="",TODAY()-$X223&gt;90),"At Risk","Not At Risk"))</f>
        <v/>
      </c>
      <c r="Z223" s="61" t="n"/>
    </row>
    <row r="224" ht="15" customHeight="1" s="39">
      <c r="A224" s="60" t="n"/>
      <c r="B224" s="60" t="n"/>
      <c r="C224" s="60" t="n"/>
      <c r="D224" s="60" t="n"/>
      <c r="E224" s="60" t="n"/>
      <c r="F224" s="61" t="n"/>
      <c r="G224" s="60" t="n"/>
      <c r="H224" s="60" t="n"/>
      <c r="I224" s="60" t="n"/>
      <c r="J224" s="61" t="n"/>
      <c r="K224" s="60" t="n"/>
      <c r="L224" s="60" t="n"/>
      <c r="M224" s="60" t="n"/>
      <c r="N224" s="60" t="n"/>
      <c r="O224" s="61" t="n"/>
      <c r="P224" s="60" t="n"/>
      <c r="Q224" s="60" t="n"/>
      <c r="R224" s="60" t="n"/>
      <c r="S224" s="60" t="n"/>
      <c r="T224" s="60" t="n"/>
      <c r="U224" s="60" t="n"/>
      <c r="V224" s="60" t="n"/>
      <c r="W224" s="60" t="n"/>
      <c r="X224" s="62" t="n"/>
      <c r="Y224" s="63">
        <f>IF($A224="","",IF(OR($W224&lt;&gt;"Yes",$X224="",TODAY()-$X224&gt;90),"At Risk","Not At Risk"))</f>
        <v/>
      </c>
      <c r="Z224" s="61" t="n"/>
    </row>
    <row r="225" ht="15" customHeight="1" s="39">
      <c r="A225" s="60" t="n"/>
      <c r="B225" s="60" t="n"/>
      <c r="C225" s="60" t="n"/>
      <c r="D225" s="60" t="n"/>
      <c r="E225" s="60" t="n"/>
      <c r="F225" s="61" t="n"/>
      <c r="G225" s="60" t="n"/>
      <c r="H225" s="60" t="n"/>
      <c r="I225" s="60" t="n"/>
      <c r="J225" s="61" t="n"/>
      <c r="K225" s="60" t="n"/>
      <c r="L225" s="60" t="n"/>
      <c r="M225" s="60" t="n"/>
      <c r="N225" s="60" t="n"/>
      <c r="O225" s="61" t="n"/>
      <c r="P225" s="60" t="n"/>
      <c r="Q225" s="60" t="n"/>
      <c r="R225" s="60" t="n"/>
      <c r="S225" s="60" t="n"/>
      <c r="T225" s="60" t="n"/>
      <c r="U225" s="60" t="n"/>
      <c r="V225" s="60" t="n"/>
      <c r="W225" s="60" t="n"/>
      <c r="X225" s="62" t="n"/>
      <c r="Y225" s="63">
        <f>IF($A225="","",IF(OR($W225&lt;&gt;"Yes",$X225="",TODAY()-$X225&gt;90),"At Risk","Not At Risk"))</f>
        <v/>
      </c>
      <c r="Z225" s="61" t="n"/>
    </row>
    <row r="226" ht="15" customHeight="1" s="39">
      <c r="A226" s="60" t="n"/>
      <c r="B226" s="60" t="n"/>
      <c r="C226" s="60" t="n"/>
      <c r="D226" s="60" t="n"/>
      <c r="E226" s="60" t="n"/>
      <c r="F226" s="61" t="n"/>
      <c r="G226" s="60" t="n"/>
      <c r="H226" s="60" t="n"/>
      <c r="I226" s="60" t="n"/>
      <c r="J226" s="61" t="n"/>
      <c r="K226" s="60" t="n"/>
      <c r="L226" s="60" t="n"/>
      <c r="M226" s="60" t="n"/>
      <c r="N226" s="60" t="n"/>
      <c r="O226" s="61" t="n"/>
      <c r="P226" s="60" t="n"/>
      <c r="Q226" s="60" t="n"/>
      <c r="R226" s="60" t="n"/>
      <c r="S226" s="60" t="n"/>
      <c r="T226" s="60" t="n"/>
      <c r="U226" s="60" t="n"/>
      <c r="V226" s="60" t="n"/>
      <c r="W226" s="60" t="n"/>
      <c r="X226" s="62" t="n"/>
      <c r="Y226" s="63">
        <f>IF($A226="","",IF(OR($W226&lt;&gt;"Yes",$X226="",TODAY()-$X226&gt;90),"At Risk","Not At Risk"))</f>
        <v/>
      </c>
      <c r="Z226" s="61" t="n"/>
    </row>
    <row r="227" ht="15" customHeight="1" s="39">
      <c r="A227" s="60" t="n"/>
      <c r="B227" s="60" t="n"/>
      <c r="C227" s="60" t="n"/>
      <c r="D227" s="60" t="n"/>
      <c r="E227" s="60" t="n"/>
      <c r="F227" s="61" t="n"/>
      <c r="G227" s="60" t="n"/>
      <c r="H227" s="60" t="n"/>
      <c r="I227" s="60" t="n"/>
      <c r="J227" s="61" t="n"/>
      <c r="K227" s="60" t="n"/>
      <c r="L227" s="60" t="n"/>
      <c r="M227" s="60" t="n"/>
      <c r="N227" s="60" t="n"/>
      <c r="O227" s="61" t="n"/>
      <c r="P227" s="60" t="n"/>
      <c r="Q227" s="60" t="n"/>
      <c r="R227" s="60" t="n"/>
      <c r="S227" s="60" t="n"/>
      <c r="T227" s="60" t="n"/>
      <c r="U227" s="60" t="n"/>
      <c r="V227" s="60" t="n"/>
      <c r="W227" s="60" t="n"/>
      <c r="X227" s="62" t="n"/>
      <c r="Y227" s="63">
        <f>IF($A227="","",IF(OR($W227&lt;&gt;"Yes",$X227="",TODAY()-$X227&gt;90),"At Risk","Not At Risk"))</f>
        <v/>
      </c>
      <c r="Z227" s="61" t="n"/>
    </row>
    <row r="228" ht="15" customHeight="1" s="39">
      <c r="A228" s="60" t="n"/>
      <c r="B228" s="60" t="n"/>
      <c r="C228" s="60" t="n"/>
      <c r="D228" s="60" t="n"/>
      <c r="E228" s="60" t="n"/>
      <c r="F228" s="61" t="n"/>
      <c r="G228" s="60" t="n"/>
      <c r="H228" s="60" t="n"/>
      <c r="I228" s="60" t="n"/>
      <c r="J228" s="61" t="n"/>
      <c r="K228" s="60" t="n"/>
      <c r="L228" s="60" t="n"/>
      <c r="M228" s="60" t="n"/>
      <c r="N228" s="60" t="n"/>
      <c r="O228" s="61" t="n"/>
      <c r="P228" s="60" t="n"/>
      <c r="Q228" s="60" t="n"/>
      <c r="R228" s="60" t="n"/>
      <c r="S228" s="60" t="n"/>
      <c r="T228" s="60" t="n"/>
      <c r="U228" s="60" t="n"/>
      <c r="V228" s="60" t="n"/>
      <c r="W228" s="60" t="n"/>
      <c r="X228" s="62" t="n"/>
      <c r="Y228" s="63">
        <f>IF($A228="","",IF(OR($W228&lt;&gt;"Yes",$X228="",TODAY()-$X228&gt;90),"At Risk","Not At Risk"))</f>
        <v/>
      </c>
      <c r="Z228" s="61" t="n"/>
    </row>
    <row r="229" ht="15" customHeight="1" s="39">
      <c r="A229" s="60" t="n"/>
      <c r="B229" s="60" t="n"/>
      <c r="C229" s="60" t="n"/>
      <c r="D229" s="60" t="n"/>
      <c r="E229" s="60" t="n"/>
      <c r="F229" s="61" t="n"/>
      <c r="G229" s="60" t="n"/>
      <c r="H229" s="60" t="n"/>
      <c r="I229" s="60" t="n"/>
      <c r="J229" s="61" t="n"/>
      <c r="K229" s="60" t="n"/>
      <c r="L229" s="60" t="n"/>
      <c r="M229" s="60" t="n"/>
      <c r="N229" s="60" t="n"/>
      <c r="O229" s="61" t="n"/>
      <c r="P229" s="60" t="n"/>
      <c r="Q229" s="60" t="n"/>
      <c r="R229" s="60" t="n"/>
      <c r="S229" s="60" t="n"/>
      <c r="T229" s="60" t="n"/>
      <c r="U229" s="60" t="n"/>
      <c r="V229" s="60" t="n"/>
      <c r="W229" s="60" t="n"/>
      <c r="X229" s="62" t="n"/>
      <c r="Y229" s="63">
        <f>IF($A229="","",IF(OR($W229&lt;&gt;"Yes",$X229="",TODAY()-$X229&gt;90),"At Risk","Not At Risk"))</f>
        <v/>
      </c>
      <c r="Z229" s="61" t="n"/>
    </row>
    <row r="230" ht="15" customHeight="1" s="39">
      <c r="A230" s="60" t="n"/>
      <c r="B230" s="60" t="n"/>
      <c r="C230" s="60" t="n"/>
      <c r="D230" s="60" t="n"/>
      <c r="E230" s="60" t="n"/>
      <c r="F230" s="61" t="n"/>
      <c r="G230" s="60" t="n"/>
      <c r="H230" s="60" t="n"/>
      <c r="I230" s="60" t="n"/>
      <c r="J230" s="61" t="n"/>
      <c r="K230" s="60" t="n"/>
      <c r="L230" s="60" t="n"/>
      <c r="M230" s="60" t="n"/>
      <c r="N230" s="60" t="n"/>
      <c r="O230" s="61" t="n"/>
      <c r="P230" s="60" t="n"/>
      <c r="Q230" s="60" t="n"/>
      <c r="R230" s="60" t="n"/>
      <c r="S230" s="60" t="n"/>
      <c r="T230" s="60" t="n"/>
      <c r="U230" s="60" t="n"/>
      <c r="V230" s="60" t="n"/>
      <c r="W230" s="60" t="n"/>
      <c r="X230" s="62" t="n"/>
      <c r="Y230" s="63">
        <f>IF($A230="","",IF(OR($W230&lt;&gt;"Yes",$X230="",TODAY()-$X230&gt;90),"At Risk","Not At Risk"))</f>
        <v/>
      </c>
      <c r="Z230" s="61" t="n"/>
    </row>
    <row r="231" ht="15" customHeight="1" s="39">
      <c r="A231" s="60" t="n"/>
      <c r="B231" s="60" t="n"/>
      <c r="C231" s="60" t="n"/>
      <c r="D231" s="60" t="n"/>
      <c r="E231" s="60" t="n"/>
      <c r="F231" s="61" t="n"/>
      <c r="G231" s="60" t="n"/>
      <c r="H231" s="60" t="n"/>
      <c r="I231" s="60" t="n"/>
      <c r="J231" s="61" t="n"/>
      <c r="K231" s="60" t="n"/>
      <c r="L231" s="60" t="n"/>
      <c r="M231" s="60" t="n"/>
      <c r="N231" s="60" t="n"/>
      <c r="O231" s="61" t="n"/>
      <c r="P231" s="60" t="n"/>
      <c r="Q231" s="60" t="n"/>
      <c r="R231" s="60" t="n"/>
      <c r="S231" s="60" t="n"/>
      <c r="T231" s="60" t="n"/>
      <c r="U231" s="60" t="n"/>
      <c r="V231" s="60" t="n"/>
      <c r="W231" s="60" t="n"/>
      <c r="X231" s="62" t="n"/>
      <c r="Y231" s="63">
        <f>IF($A231="","",IF(OR($W231&lt;&gt;"Yes",$X231="",TODAY()-$X231&gt;90),"At Risk","Not At Risk"))</f>
        <v/>
      </c>
      <c r="Z231" s="61" t="n"/>
    </row>
    <row r="232" ht="15" customHeight="1" s="39">
      <c r="A232" s="60" t="n"/>
      <c r="B232" s="60" t="n"/>
      <c r="C232" s="60" t="n"/>
      <c r="D232" s="60" t="n"/>
      <c r="E232" s="60" t="n"/>
      <c r="F232" s="61" t="n"/>
      <c r="G232" s="60" t="n"/>
      <c r="H232" s="60" t="n"/>
      <c r="I232" s="60" t="n"/>
      <c r="J232" s="61" t="n"/>
      <c r="K232" s="60" t="n"/>
      <c r="L232" s="60" t="n"/>
      <c r="M232" s="60" t="n"/>
      <c r="N232" s="60" t="n"/>
      <c r="O232" s="61" t="n"/>
      <c r="P232" s="60" t="n"/>
      <c r="Q232" s="60" t="n"/>
      <c r="R232" s="60" t="n"/>
      <c r="S232" s="60" t="n"/>
      <c r="T232" s="60" t="n"/>
      <c r="U232" s="60" t="n"/>
      <c r="V232" s="60" t="n"/>
      <c r="W232" s="60" t="n"/>
      <c r="X232" s="62" t="n"/>
      <c r="Y232" s="63">
        <f>IF($A232="","",IF(OR($W232&lt;&gt;"Yes",$X232="",TODAY()-$X232&gt;90),"At Risk","Not At Risk"))</f>
        <v/>
      </c>
      <c r="Z232" s="61" t="n"/>
    </row>
    <row r="233" ht="15" customHeight="1" s="39">
      <c r="A233" s="60" t="n"/>
      <c r="B233" s="60" t="n"/>
      <c r="C233" s="60" t="n"/>
      <c r="D233" s="60" t="n"/>
      <c r="E233" s="60" t="n"/>
      <c r="F233" s="61" t="n"/>
      <c r="G233" s="60" t="n"/>
      <c r="H233" s="60" t="n"/>
      <c r="I233" s="60" t="n"/>
      <c r="J233" s="61" t="n"/>
      <c r="K233" s="60" t="n"/>
      <c r="L233" s="60" t="n"/>
      <c r="M233" s="60" t="n"/>
      <c r="N233" s="60" t="n"/>
      <c r="O233" s="61" t="n"/>
      <c r="P233" s="60" t="n"/>
      <c r="Q233" s="60" t="n"/>
      <c r="R233" s="60" t="n"/>
      <c r="S233" s="60" t="n"/>
      <c r="T233" s="60" t="n"/>
      <c r="U233" s="60" t="n"/>
      <c r="V233" s="60" t="n"/>
      <c r="W233" s="60" t="n"/>
      <c r="X233" s="62" t="n"/>
      <c r="Y233" s="63">
        <f>IF($A233="","",IF(OR($W233&lt;&gt;"Yes",$X233="",TODAY()-$X233&gt;90),"At Risk","Not At Risk"))</f>
        <v/>
      </c>
      <c r="Z233" s="61" t="n"/>
    </row>
    <row r="234" ht="15" customHeight="1" s="39">
      <c r="A234" s="60" t="n"/>
      <c r="B234" s="60" t="n"/>
      <c r="C234" s="60" t="n"/>
      <c r="D234" s="60" t="n"/>
      <c r="E234" s="60" t="n"/>
      <c r="F234" s="61" t="n"/>
      <c r="G234" s="60" t="n"/>
      <c r="H234" s="60" t="n"/>
      <c r="I234" s="60" t="n"/>
      <c r="J234" s="61" t="n"/>
      <c r="K234" s="60" t="n"/>
      <c r="L234" s="60" t="n"/>
      <c r="M234" s="60" t="n"/>
      <c r="N234" s="60" t="n"/>
      <c r="O234" s="61" t="n"/>
      <c r="P234" s="60" t="n"/>
      <c r="Q234" s="60" t="n"/>
      <c r="R234" s="60" t="n"/>
      <c r="S234" s="60" t="n"/>
      <c r="T234" s="60" t="n"/>
      <c r="U234" s="60" t="n"/>
      <c r="V234" s="60" t="n"/>
      <c r="W234" s="60" t="n"/>
      <c r="X234" s="62" t="n"/>
      <c r="Y234" s="63">
        <f>IF($A234="","",IF(OR($W234&lt;&gt;"Yes",$X234="",TODAY()-$X234&gt;90),"At Risk","Not At Risk"))</f>
        <v/>
      </c>
      <c r="Z234" s="61" t="n"/>
    </row>
    <row r="235" ht="15" customHeight="1" s="39">
      <c r="A235" s="60" t="n"/>
      <c r="B235" s="60" t="n"/>
      <c r="C235" s="60" t="n"/>
      <c r="D235" s="60" t="n"/>
      <c r="E235" s="60" t="n"/>
      <c r="F235" s="61" t="n"/>
      <c r="G235" s="60" t="n"/>
      <c r="H235" s="60" t="n"/>
      <c r="I235" s="60" t="n"/>
      <c r="J235" s="61" t="n"/>
      <c r="K235" s="60" t="n"/>
      <c r="L235" s="60" t="n"/>
      <c r="M235" s="60" t="n"/>
      <c r="N235" s="60" t="n"/>
      <c r="O235" s="61" t="n"/>
      <c r="P235" s="60" t="n"/>
      <c r="Q235" s="60" t="n"/>
      <c r="R235" s="60" t="n"/>
      <c r="S235" s="60" t="n"/>
      <c r="T235" s="60" t="n"/>
      <c r="U235" s="60" t="n"/>
      <c r="V235" s="60" t="n"/>
      <c r="W235" s="60" t="n"/>
      <c r="X235" s="62" t="n"/>
      <c r="Y235" s="63">
        <f>IF($A235="","",IF(OR($W235&lt;&gt;"Yes",$X235="",TODAY()-$X235&gt;90),"At Risk","Not At Risk"))</f>
        <v/>
      </c>
      <c r="Z235" s="61" t="n"/>
    </row>
    <row r="236" ht="15" customHeight="1" s="39">
      <c r="A236" s="60" t="n"/>
      <c r="B236" s="60" t="n"/>
      <c r="C236" s="60" t="n"/>
      <c r="D236" s="60" t="n"/>
      <c r="E236" s="60" t="n"/>
      <c r="F236" s="61" t="n"/>
      <c r="G236" s="60" t="n"/>
      <c r="H236" s="60" t="n"/>
      <c r="I236" s="60" t="n"/>
      <c r="J236" s="61" t="n"/>
      <c r="K236" s="60" t="n"/>
      <c r="L236" s="60" t="n"/>
      <c r="M236" s="60" t="n"/>
      <c r="N236" s="60" t="n"/>
      <c r="O236" s="61" t="n"/>
      <c r="P236" s="60" t="n"/>
      <c r="Q236" s="60" t="n"/>
      <c r="R236" s="60" t="n"/>
      <c r="S236" s="60" t="n"/>
      <c r="T236" s="60" t="n"/>
      <c r="U236" s="60" t="n"/>
      <c r="V236" s="60" t="n"/>
      <c r="W236" s="60" t="n"/>
      <c r="X236" s="62" t="n"/>
      <c r="Y236" s="63">
        <f>IF($A236="","",IF(OR($W236&lt;&gt;"Yes",$X236="",TODAY()-$X236&gt;90),"At Risk","Not At Risk"))</f>
        <v/>
      </c>
      <c r="Z236" s="61" t="n"/>
    </row>
    <row r="237" ht="15" customHeight="1" s="39">
      <c r="A237" s="60" t="n"/>
      <c r="B237" s="60" t="n"/>
      <c r="C237" s="60" t="n"/>
      <c r="D237" s="60" t="n"/>
      <c r="E237" s="60" t="n"/>
      <c r="F237" s="61" t="n"/>
      <c r="G237" s="60" t="n"/>
      <c r="H237" s="60" t="n"/>
      <c r="I237" s="60" t="n"/>
      <c r="J237" s="61" t="n"/>
      <c r="K237" s="60" t="n"/>
      <c r="L237" s="60" t="n"/>
      <c r="M237" s="60" t="n"/>
      <c r="N237" s="60" t="n"/>
      <c r="O237" s="61" t="n"/>
      <c r="P237" s="60" t="n"/>
      <c r="Q237" s="60" t="n"/>
      <c r="R237" s="60" t="n"/>
      <c r="S237" s="60" t="n"/>
      <c r="T237" s="60" t="n"/>
      <c r="U237" s="60" t="n"/>
      <c r="V237" s="60" t="n"/>
      <c r="W237" s="60" t="n"/>
      <c r="X237" s="62" t="n"/>
      <c r="Y237" s="63">
        <f>IF($A237="","",IF(OR($W237&lt;&gt;"Yes",$X237="",TODAY()-$X237&gt;90),"At Risk","Not At Risk"))</f>
        <v/>
      </c>
      <c r="Z237" s="61" t="n"/>
    </row>
    <row r="238" ht="15" customHeight="1" s="39">
      <c r="A238" s="60" t="n"/>
      <c r="B238" s="60" t="n"/>
      <c r="C238" s="60" t="n"/>
      <c r="D238" s="60" t="n"/>
      <c r="E238" s="60" t="n"/>
      <c r="F238" s="61" t="n"/>
      <c r="G238" s="60" t="n"/>
      <c r="H238" s="60" t="n"/>
      <c r="I238" s="60" t="n"/>
      <c r="J238" s="61" t="n"/>
      <c r="K238" s="60" t="n"/>
      <c r="L238" s="60" t="n"/>
      <c r="M238" s="60" t="n"/>
      <c r="N238" s="60" t="n"/>
      <c r="O238" s="61" t="n"/>
      <c r="P238" s="60" t="n"/>
      <c r="Q238" s="60" t="n"/>
      <c r="R238" s="60" t="n"/>
      <c r="S238" s="60" t="n"/>
      <c r="T238" s="60" t="n"/>
      <c r="U238" s="60" t="n"/>
      <c r="V238" s="60" t="n"/>
      <c r="W238" s="60" t="n"/>
      <c r="X238" s="62" t="n"/>
      <c r="Y238" s="63">
        <f>IF($A238="","",IF(OR($W238&lt;&gt;"Yes",$X238="",TODAY()-$X238&gt;90),"At Risk","Not At Risk"))</f>
        <v/>
      </c>
      <c r="Z238" s="61" t="n"/>
    </row>
    <row r="239" ht="15" customHeight="1" s="39">
      <c r="A239" s="60" t="n"/>
      <c r="B239" s="60" t="n"/>
      <c r="C239" s="60" t="n"/>
      <c r="D239" s="60" t="n"/>
      <c r="E239" s="60" t="n"/>
      <c r="F239" s="61" t="n"/>
      <c r="G239" s="60" t="n"/>
      <c r="H239" s="60" t="n"/>
      <c r="I239" s="60" t="n"/>
      <c r="J239" s="61" t="n"/>
      <c r="K239" s="60" t="n"/>
      <c r="L239" s="60" t="n"/>
      <c r="M239" s="60" t="n"/>
      <c r="N239" s="60" t="n"/>
      <c r="O239" s="61" t="n"/>
      <c r="P239" s="60" t="n"/>
      <c r="Q239" s="60" t="n"/>
      <c r="R239" s="60" t="n"/>
      <c r="S239" s="60" t="n"/>
      <c r="T239" s="60" t="n"/>
      <c r="U239" s="60" t="n"/>
      <c r="V239" s="60" t="n"/>
      <c r="W239" s="60" t="n"/>
      <c r="X239" s="62" t="n"/>
      <c r="Y239" s="63">
        <f>IF($A239="","",IF(OR($W239&lt;&gt;"Yes",$X239="",TODAY()-$X239&gt;90),"At Risk","Not At Risk"))</f>
        <v/>
      </c>
      <c r="Z239" s="61" t="n"/>
    </row>
    <row r="240" ht="15" customHeight="1" s="39">
      <c r="A240" s="60" t="n"/>
      <c r="B240" s="60" t="n"/>
      <c r="C240" s="60" t="n"/>
      <c r="D240" s="60" t="n"/>
      <c r="E240" s="60" t="n"/>
      <c r="F240" s="61" t="n"/>
      <c r="G240" s="60" t="n"/>
      <c r="H240" s="60" t="n"/>
      <c r="I240" s="60" t="n"/>
      <c r="J240" s="61" t="n"/>
      <c r="K240" s="60" t="n"/>
      <c r="L240" s="60" t="n"/>
      <c r="M240" s="60" t="n"/>
      <c r="N240" s="60" t="n"/>
      <c r="O240" s="61" t="n"/>
      <c r="P240" s="60" t="n"/>
      <c r="Q240" s="60" t="n"/>
      <c r="R240" s="60" t="n"/>
      <c r="S240" s="60" t="n"/>
      <c r="T240" s="60" t="n"/>
      <c r="U240" s="60" t="n"/>
      <c r="V240" s="60" t="n"/>
      <c r="W240" s="60" t="n"/>
      <c r="X240" s="62" t="n"/>
      <c r="Y240" s="63">
        <f>IF($A240="","",IF(OR($W240&lt;&gt;"Yes",$X240="",TODAY()-$X240&gt;90),"At Risk","Not At Risk"))</f>
        <v/>
      </c>
      <c r="Z240" s="61" t="n"/>
    </row>
    <row r="241" ht="15" customHeight="1" s="39">
      <c r="A241" s="60" t="n"/>
      <c r="B241" s="60" t="n"/>
      <c r="C241" s="60" t="n"/>
      <c r="D241" s="60" t="n"/>
      <c r="E241" s="60" t="n"/>
      <c r="F241" s="61" t="n"/>
      <c r="G241" s="60" t="n"/>
      <c r="H241" s="60" t="n"/>
      <c r="I241" s="60" t="n"/>
      <c r="J241" s="61" t="n"/>
      <c r="K241" s="60" t="n"/>
      <c r="L241" s="60" t="n"/>
      <c r="M241" s="60" t="n"/>
      <c r="N241" s="60" t="n"/>
      <c r="O241" s="61" t="n"/>
      <c r="P241" s="60" t="n"/>
      <c r="Q241" s="60" t="n"/>
      <c r="R241" s="60" t="n"/>
      <c r="S241" s="60" t="n"/>
      <c r="T241" s="60" t="n"/>
      <c r="U241" s="60" t="n"/>
      <c r="V241" s="60" t="n"/>
      <c r="W241" s="60" t="n"/>
      <c r="X241" s="62" t="n"/>
      <c r="Y241" s="63">
        <f>IF($A241="","",IF(OR($W241&lt;&gt;"Yes",$X241="",TODAY()-$X241&gt;90),"At Risk","Not At Risk"))</f>
        <v/>
      </c>
      <c r="Z241" s="61" t="n"/>
    </row>
    <row r="242" ht="15" customHeight="1" s="39">
      <c r="A242" s="60" t="n"/>
      <c r="B242" s="60" t="n"/>
      <c r="C242" s="60" t="n"/>
      <c r="D242" s="60" t="n"/>
      <c r="E242" s="60" t="n"/>
      <c r="F242" s="61" t="n"/>
      <c r="G242" s="60" t="n"/>
      <c r="H242" s="60" t="n"/>
      <c r="I242" s="60" t="n"/>
      <c r="J242" s="61" t="n"/>
      <c r="K242" s="60" t="n"/>
      <c r="L242" s="60" t="n"/>
      <c r="M242" s="60" t="n"/>
      <c r="N242" s="60" t="n"/>
      <c r="O242" s="61" t="n"/>
      <c r="P242" s="60" t="n"/>
      <c r="Q242" s="60" t="n"/>
      <c r="R242" s="60" t="n"/>
      <c r="S242" s="60" t="n"/>
      <c r="T242" s="60" t="n"/>
      <c r="U242" s="60" t="n"/>
      <c r="V242" s="60" t="n"/>
      <c r="W242" s="60" t="n"/>
      <c r="X242" s="62" t="n"/>
      <c r="Y242" s="63">
        <f>IF($A242="","",IF(OR($W242&lt;&gt;"Yes",$X242="",TODAY()-$X242&gt;90),"At Risk","Not At Risk"))</f>
        <v/>
      </c>
      <c r="Z242" s="61" t="n"/>
    </row>
    <row r="243" ht="15" customHeight="1" s="39">
      <c r="A243" s="60" t="n"/>
      <c r="B243" s="60" t="n"/>
      <c r="C243" s="60" t="n"/>
      <c r="D243" s="60" t="n"/>
      <c r="E243" s="60" t="n"/>
      <c r="F243" s="61" t="n"/>
      <c r="G243" s="60" t="n"/>
      <c r="H243" s="60" t="n"/>
      <c r="I243" s="60" t="n"/>
      <c r="J243" s="61" t="n"/>
      <c r="K243" s="60" t="n"/>
      <c r="L243" s="60" t="n"/>
      <c r="M243" s="60" t="n"/>
      <c r="N243" s="60" t="n"/>
      <c r="O243" s="61" t="n"/>
      <c r="P243" s="60" t="n"/>
      <c r="Q243" s="60" t="n"/>
      <c r="R243" s="60" t="n"/>
      <c r="S243" s="60" t="n"/>
      <c r="T243" s="60" t="n"/>
      <c r="U243" s="60" t="n"/>
      <c r="V243" s="60" t="n"/>
      <c r="W243" s="60" t="n"/>
      <c r="X243" s="62" t="n"/>
      <c r="Y243" s="63">
        <f>IF($A243="","",IF(OR($W243&lt;&gt;"Yes",$X243="",TODAY()-$X243&gt;90),"At Risk","Not At Risk"))</f>
        <v/>
      </c>
      <c r="Z243" s="61" t="n"/>
    </row>
    <row r="244" ht="15" customHeight="1" s="39">
      <c r="A244" s="60" t="n"/>
      <c r="B244" s="60" t="n"/>
      <c r="C244" s="60" t="n"/>
      <c r="D244" s="60" t="n"/>
      <c r="E244" s="60" t="n"/>
      <c r="F244" s="61" t="n"/>
      <c r="G244" s="60" t="n"/>
      <c r="H244" s="60" t="n"/>
      <c r="I244" s="60" t="n"/>
      <c r="J244" s="61" t="n"/>
      <c r="K244" s="60" t="n"/>
      <c r="L244" s="60" t="n"/>
      <c r="M244" s="60" t="n"/>
      <c r="N244" s="60" t="n"/>
      <c r="O244" s="61" t="n"/>
      <c r="P244" s="60" t="n"/>
      <c r="Q244" s="60" t="n"/>
      <c r="R244" s="60" t="n"/>
      <c r="S244" s="60" t="n"/>
      <c r="T244" s="60" t="n"/>
      <c r="U244" s="60" t="n"/>
      <c r="V244" s="60" t="n"/>
      <c r="W244" s="60" t="n"/>
      <c r="X244" s="62" t="n"/>
      <c r="Y244" s="63">
        <f>IF($A244="","",IF(OR($W244&lt;&gt;"Yes",$X244="",TODAY()-$X244&gt;90),"At Risk","Not At Risk"))</f>
        <v/>
      </c>
      <c r="Z244" s="61" t="n"/>
    </row>
    <row r="245" ht="15" customHeight="1" s="39">
      <c r="A245" s="60" t="n"/>
      <c r="B245" s="60" t="n"/>
      <c r="C245" s="60" t="n"/>
      <c r="D245" s="60" t="n"/>
      <c r="E245" s="60" t="n"/>
      <c r="F245" s="61" t="n"/>
      <c r="G245" s="60" t="n"/>
      <c r="H245" s="60" t="n"/>
      <c r="I245" s="60" t="n"/>
      <c r="J245" s="61" t="n"/>
      <c r="K245" s="60" t="n"/>
      <c r="L245" s="60" t="n"/>
      <c r="M245" s="60" t="n"/>
      <c r="N245" s="60" t="n"/>
      <c r="O245" s="61" t="n"/>
      <c r="P245" s="60" t="n"/>
      <c r="Q245" s="60" t="n"/>
      <c r="R245" s="60" t="n"/>
      <c r="S245" s="60" t="n"/>
      <c r="T245" s="60" t="n"/>
      <c r="U245" s="60" t="n"/>
      <c r="V245" s="60" t="n"/>
      <c r="W245" s="60" t="n"/>
      <c r="X245" s="62" t="n"/>
      <c r="Y245" s="63">
        <f>IF($A245="","",IF(OR($W245&lt;&gt;"Yes",$X245="",TODAY()-$X245&gt;90),"At Risk","Not At Risk"))</f>
        <v/>
      </c>
      <c r="Z245" s="61" t="n"/>
    </row>
    <row r="246" ht="15" customHeight="1" s="39">
      <c r="A246" s="60" t="n"/>
      <c r="B246" s="60" t="n"/>
      <c r="C246" s="60" t="n"/>
      <c r="D246" s="60" t="n"/>
      <c r="E246" s="60" t="n"/>
      <c r="F246" s="61" t="n"/>
      <c r="G246" s="60" t="n"/>
      <c r="H246" s="60" t="n"/>
      <c r="I246" s="60" t="n"/>
      <c r="J246" s="61" t="n"/>
      <c r="K246" s="60" t="n"/>
      <c r="L246" s="60" t="n"/>
      <c r="M246" s="60" t="n"/>
      <c r="N246" s="60" t="n"/>
      <c r="O246" s="61" t="n"/>
      <c r="P246" s="60" t="n"/>
      <c r="Q246" s="60" t="n"/>
      <c r="R246" s="60" t="n"/>
      <c r="S246" s="60" t="n"/>
      <c r="T246" s="60" t="n"/>
      <c r="U246" s="60" t="n"/>
      <c r="V246" s="60" t="n"/>
      <c r="W246" s="60" t="n"/>
      <c r="X246" s="62" t="n"/>
      <c r="Y246" s="63">
        <f>IF($A246="","",IF(OR($W246&lt;&gt;"Yes",$X246="",TODAY()-$X246&gt;90),"At Risk","Not At Risk"))</f>
        <v/>
      </c>
      <c r="Z246" s="61" t="n"/>
    </row>
    <row r="247" ht="15" customHeight="1" s="39">
      <c r="A247" s="60" t="n"/>
      <c r="B247" s="60" t="n"/>
      <c r="C247" s="60" t="n"/>
      <c r="D247" s="60" t="n"/>
      <c r="E247" s="60" t="n"/>
      <c r="F247" s="61" t="n"/>
      <c r="G247" s="60" t="n"/>
      <c r="H247" s="60" t="n"/>
      <c r="I247" s="60" t="n"/>
      <c r="J247" s="61" t="n"/>
      <c r="K247" s="60" t="n"/>
      <c r="L247" s="60" t="n"/>
      <c r="M247" s="60" t="n"/>
      <c r="N247" s="60" t="n"/>
      <c r="O247" s="61" t="n"/>
      <c r="P247" s="60" t="n"/>
      <c r="Q247" s="60" t="n"/>
      <c r="R247" s="60" t="n"/>
      <c r="S247" s="60" t="n"/>
      <c r="T247" s="60" t="n"/>
      <c r="U247" s="60" t="n"/>
      <c r="V247" s="60" t="n"/>
      <c r="W247" s="60" t="n"/>
      <c r="X247" s="62" t="n"/>
      <c r="Y247" s="63">
        <f>IF($A247="","",IF(OR($W247&lt;&gt;"Yes",$X247="",TODAY()-$X247&gt;90),"At Risk","Not At Risk"))</f>
        <v/>
      </c>
      <c r="Z247" s="61" t="n"/>
    </row>
    <row r="248" ht="15" customHeight="1" s="39">
      <c r="A248" s="60" t="n"/>
      <c r="B248" s="60" t="n"/>
      <c r="C248" s="60" t="n"/>
      <c r="D248" s="60" t="n"/>
      <c r="E248" s="60" t="n"/>
      <c r="F248" s="61" t="n"/>
      <c r="G248" s="60" t="n"/>
      <c r="H248" s="60" t="n"/>
      <c r="I248" s="60" t="n"/>
      <c r="J248" s="61" t="n"/>
      <c r="K248" s="60" t="n"/>
      <c r="L248" s="60" t="n"/>
      <c r="M248" s="60" t="n"/>
      <c r="N248" s="60" t="n"/>
      <c r="O248" s="61" t="n"/>
      <c r="P248" s="60" t="n"/>
      <c r="Q248" s="60" t="n"/>
      <c r="R248" s="60" t="n"/>
      <c r="S248" s="60" t="n"/>
      <c r="T248" s="60" t="n"/>
      <c r="U248" s="60" t="n"/>
      <c r="V248" s="60" t="n"/>
      <c r="W248" s="60" t="n"/>
      <c r="X248" s="62" t="n"/>
      <c r="Y248" s="63">
        <f>IF($A248="","",IF(OR($W248&lt;&gt;"Yes",$X248="",TODAY()-$X248&gt;90),"At Risk","Not At Risk"))</f>
        <v/>
      </c>
      <c r="Z248" s="61" t="n"/>
    </row>
    <row r="249" ht="15" customHeight="1" s="39">
      <c r="A249" s="60" t="n"/>
      <c r="B249" s="60" t="n"/>
      <c r="C249" s="60" t="n"/>
      <c r="D249" s="60" t="n"/>
      <c r="E249" s="60" t="n"/>
      <c r="F249" s="61" t="n"/>
      <c r="G249" s="60" t="n"/>
      <c r="H249" s="60" t="n"/>
      <c r="I249" s="60" t="n"/>
      <c r="J249" s="61" t="n"/>
      <c r="K249" s="60" t="n"/>
      <c r="L249" s="60" t="n"/>
      <c r="M249" s="60" t="n"/>
      <c r="N249" s="60" t="n"/>
      <c r="O249" s="61" t="n"/>
      <c r="P249" s="60" t="n"/>
      <c r="Q249" s="60" t="n"/>
      <c r="R249" s="60" t="n"/>
      <c r="S249" s="60" t="n"/>
      <c r="T249" s="60" t="n"/>
      <c r="U249" s="60" t="n"/>
      <c r="V249" s="60" t="n"/>
      <c r="W249" s="60" t="n"/>
      <c r="X249" s="62" t="n"/>
      <c r="Y249" s="63">
        <f>IF($A249="","",IF(OR($W249&lt;&gt;"Yes",$X249="",TODAY()-$X249&gt;90),"At Risk","Not At Risk"))</f>
        <v/>
      </c>
      <c r="Z249" s="61" t="n"/>
    </row>
    <row r="250" ht="15" customHeight="1" s="39">
      <c r="A250" s="60" t="n"/>
      <c r="B250" s="60" t="n"/>
      <c r="C250" s="60" t="n"/>
      <c r="D250" s="60" t="n"/>
      <c r="E250" s="60" t="n"/>
      <c r="F250" s="61" t="n"/>
      <c r="G250" s="60" t="n"/>
      <c r="H250" s="60" t="n"/>
      <c r="I250" s="60" t="n"/>
      <c r="J250" s="61" t="n"/>
      <c r="K250" s="60" t="n"/>
      <c r="L250" s="60" t="n"/>
      <c r="M250" s="60" t="n"/>
      <c r="N250" s="60" t="n"/>
      <c r="O250" s="61" t="n"/>
      <c r="P250" s="60" t="n"/>
      <c r="Q250" s="60" t="n"/>
      <c r="R250" s="60" t="n"/>
      <c r="S250" s="60" t="n"/>
      <c r="T250" s="60" t="n"/>
      <c r="U250" s="60" t="n"/>
      <c r="V250" s="60" t="n"/>
      <c r="W250" s="60" t="n"/>
      <c r="X250" s="62" t="n"/>
      <c r="Y250" s="63">
        <f>IF($A250="","",IF(OR($W250&lt;&gt;"Yes",$X250="",TODAY()-$X250&gt;90),"At Risk","Not At Risk"))</f>
        <v/>
      </c>
      <c r="Z250" s="61" t="n"/>
    </row>
    <row r="251" ht="15" customHeight="1" s="39">
      <c r="A251" s="60" t="n"/>
      <c r="B251" s="60" t="n"/>
      <c r="C251" s="60" t="n"/>
      <c r="D251" s="60" t="n"/>
      <c r="E251" s="60" t="n"/>
      <c r="F251" s="61" t="n"/>
      <c r="G251" s="60" t="n"/>
      <c r="H251" s="60" t="n"/>
      <c r="I251" s="60" t="n"/>
      <c r="J251" s="61" t="n"/>
      <c r="K251" s="60" t="n"/>
      <c r="L251" s="60" t="n"/>
      <c r="M251" s="60" t="n"/>
      <c r="N251" s="60" t="n"/>
      <c r="O251" s="61" t="n"/>
      <c r="P251" s="60" t="n"/>
      <c r="Q251" s="60" t="n"/>
      <c r="R251" s="60" t="n"/>
      <c r="S251" s="60" t="n"/>
      <c r="T251" s="60" t="n"/>
      <c r="U251" s="60" t="n"/>
      <c r="V251" s="60" t="n"/>
      <c r="W251" s="60" t="n"/>
      <c r="X251" s="62" t="n"/>
      <c r="Y251" s="63">
        <f>IF($A251="","",IF(OR($W251&lt;&gt;"Yes",$X251="",TODAY()-$X251&gt;90),"At Risk","Not At Risk"))</f>
        <v/>
      </c>
      <c r="Z251" s="61" t="n"/>
    </row>
    <row r="252" ht="15" customHeight="1" s="39">
      <c r="A252" s="60" t="n"/>
      <c r="B252" s="60" t="n"/>
      <c r="C252" s="60" t="n"/>
      <c r="D252" s="60" t="n"/>
      <c r="E252" s="60" t="n"/>
      <c r="F252" s="61" t="n"/>
      <c r="G252" s="60" t="n"/>
      <c r="H252" s="60" t="n"/>
      <c r="I252" s="60" t="n"/>
      <c r="J252" s="61" t="n"/>
      <c r="K252" s="60" t="n"/>
      <c r="L252" s="60" t="n"/>
      <c r="M252" s="60" t="n"/>
      <c r="N252" s="60" t="n"/>
      <c r="O252" s="61" t="n"/>
      <c r="P252" s="60" t="n"/>
      <c r="Q252" s="60" t="n"/>
      <c r="R252" s="60" t="n"/>
      <c r="S252" s="60" t="n"/>
      <c r="T252" s="60" t="n"/>
      <c r="U252" s="60" t="n"/>
      <c r="V252" s="60" t="n"/>
      <c r="W252" s="60" t="n"/>
      <c r="X252" s="62" t="n"/>
      <c r="Y252" s="63">
        <f>IF($A252="","",IF(OR($W252&lt;&gt;"Yes",$X252="",TODAY()-$X252&gt;90),"At Risk","Not At Risk"))</f>
        <v/>
      </c>
      <c r="Z252" s="61" t="n"/>
    </row>
    <row r="253" ht="15" customHeight="1" s="39">
      <c r="A253" s="60" t="n"/>
      <c r="B253" s="60" t="n"/>
      <c r="C253" s="60" t="n"/>
      <c r="D253" s="60" t="n"/>
      <c r="E253" s="60" t="n"/>
      <c r="F253" s="61" t="n"/>
      <c r="G253" s="60" t="n"/>
      <c r="H253" s="60" t="n"/>
      <c r="I253" s="60" t="n"/>
      <c r="J253" s="61" t="n"/>
      <c r="K253" s="60" t="n"/>
      <c r="L253" s="60" t="n"/>
      <c r="M253" s="60" t="n"/>
      <c r="N253" s="60" t="n"/>
      <c r="O253" s="61" t="n"/>
      <c r="P253" s="60" t="n"/>
      <c r="Q253" s="60" t="n"/>
      <c r="R253" s="60" t="n"/>
      <c r="S253" s="60" t="n"/>
      <c r="T253" s="60" t="n"/>
      <c r="U253" s="60" t="n"/>
      <c r="V253" s="60" t="n"/>
      <c r="W253" s="60" t="n"/>
      <c r="X253" s="62" t="n"/>
      <c r="Y253" s="63">
        <f>IF($A253="","",IF(OR($W253&lt;&gt;"Yes",$X253="",TODAY()-$X253&gt;90),"At Risk","Not At Risk"))</f>
        <v/>
      </c>
      <c r="Z253" s="61" t="n"/>
    </row>
    <row r="254" ht="15" customHeight="1" s="39">
      <c r="A254" s="60" t="n"/>
      <c r="B254" s="60" t="n"/>
      <c r="C254" s="60" t="n"/>
      <c r="D254" s="60" t="n"/>
      <c r="E254" s="60" t="n"/>
      <c r="F254" s="61" t="n"/>
      <c r="G254" s="60" t="n"/>
      <c r="H254" s="60" t="n"/>
      <c r="I254" s="60" t="n"/>
      <c r="J254" s="61" t="n"/>
      <c r="K254" s="60" t="n"/>
      <c r="L254" s="60" t="n"/>
      <c r="M254" s="60" t="n"/>
      <c r="N254" s="60" t="n"/>
      <c r="O254" s="61" t="n"/>
      <c r="P254" s="60" t="n"/>
      <c r="Q254" s="60" t="n"/>
      <c r="R254" s="60" t="n"/>
      <c r="S254" s="60" t="n"/>
      <c r="T254" s="60" t="n"/>
      <c r="U254" s="60" t="n"/>
      <c r="V254" s="60" t="n"/>
      <c r="W254" s="60" t="n"/>
      <c r="X254" s="62" t="n"/>
      <c r="Y254" s="63">
        <f>IF($A254="","",IF(OR($W254&lt;&gt;"Yes",$X254="",TODAY()-$X254&gt;90),"At Risk","Not At Risk"))</f>
        <v/>
      </c>
      <c r="Z254" s="61" t="n"/>
    </row>
    <row r="255" ht="15" customHeight="1" s="39">
      <c r="A255" s="60" t="n"/>
      <c r="B255" s="60" t="n"/>
      <c r="C255" s="60" t="n"/>
      <c r="D255" s="60" t="n"/>
      <c r="E255" s="60" t="n"/>
      <c r="F255" s="61" t="n"/>
      <c r="G255" s="60" t="n"/>
      <c r="H255" s="60" t="n"/>
      <c r="I255" s="60" t="n"/>
      <c r="J255" s="61" t="n"/>
      <c r="K255" s="60" t="n"/>
      <c r="L255" s="60" t="n"/>
      <c r="M255" s="60" t="n"/>
      <c r="N255" s="60" t="n"/>
      <c r="O255" s="61" t="n"/>
      <c r="P255" s="60" t="n"/>
      <c r="Q255" s="60" t="n"/>
      <c r="R255" s="60" t="n"/>
      <c r="S255" s="60" t="n"/>
      <c r="T255" s="60" t="n"/>
      <c r="U255" s="60" t="n"/>
      <c r="V255" s="60" t="n"/>
      <c r="W255" s="60" t="n"/>
      <c r="X255" s="62" t="n"/>
      <c r="Y255" s="63">
        <f>IF($A255="","",IF(OR($W255&lt;&gt;"Yes",$X255="",TODAY()-$X255&gt;90),"At Risk","Not At Risk"))</f>
        <v/>
      </c>
      <c r="Z255" s="61" t="n"/>
    </row>
    <row r="256" ht="15" customHeight="1" s="39">
      <c r="A256" s="60" t="n"/>
      <c r="B256" s="60" t="n"/>
      <c r="C256" s="60" t="n"/>
      <c r="D256" s="60" t="n"/>
      <c r="E256" s="60" t="n"/>
      <c r="F256" s="61" t="n"/>
      <c r="G256" s="60" t="n"/>
      <c r="H256" s="60" t="n"/>
      <c r="I256" s="60" t="n"/>
      <c r="J256" s="61" t="n"/>
      <c r="K256" s="60" t="n"/>
      <c r="L256" s="60" t="n"/>
      <c r="M256" s="60" t="n"/>
      <c r="N256" s="60" t="n"/>
      <c r="O256" s="61" t="n"/>
      <c r="P256" s="60" t="n"/>
      <c r="Q256" s="60" t="n"/>
      <c r="R256" s="60" t="n"/>
      <c r="S256" s="60" t="n"/>
      <c r="T256" s="60" t="n"/>
      <c r="U256" s="60" t="n"/>
      <c r="V256" s="60" t="n"/>
      <c r="W256" s="60" t="n"/>
      <c r="X256" s="62" t="n"/>
      <c r="Y256" s="63">
        <f>IF($A256="","",IF(OR($W256&lt;&gt;"Yes",$X256="",TODAY()-$X256&gt;90),"At Risk","Not At Risk"))</f>
        <v/>
      </c>
      <c r="Z256" s="61" t="n"/>
    </row>
    <row r="257" ht="15" customHeight="1" s="39">
      <c r="A257" s="60" t="n"/>
      <c r="B257" s="60" t="n"/>
      <c r="C257" s="60" t="n"/>
      <c r="D257" s="60" t="n"/>
      <c r="E257" s="60" t="n"/>
      <c r="F257" s="61" t="n"/>
      <c r="G257" s="60" t="n"/>
      <c r="H257" s="60" t="n"/>
      <c r="I257" s="60" t="n"/>
      <c r="J257" s="61" t="n"/>
      <c r="K257" s="60" t="n"/>
      <c r="L257" s="60" t="n"/>
      <c r="M257" s="60" t="n"/>
      <c r="N257" s="60" t="n"/>
      <c r="O257" s="61" t="n"/>
      <c r="P257" s="60" t="n"/>
      <c r="Q257" s="60" t="n"/>
      <c r="R257" s="60" t="n"/>
      <c r="S257" s="60" t="n"/>
      <c r="T257" s="60" t="n"/>
      <c r="U257" s="60" t="n"/>
      <c r="V257" s="60" t="n"/>
      <c r="W257" s="60" t="n"/>
      <c r="X257" s="62" t="n"/>
      <c r="Y257" s="63">
        <f>IF($A257="","",IF(OR($W257&lt;&gt;"Yes",$X257="",TODAY()-$X257&gt;90),"At Risk","Not At Risk"))</f>
        <v/>
      </c>
      <c r="Z257" s="61" t="n"/>
    </row>
    <row r="258" ht="15" customHeight="1" s="39">
      <c r="A258" s="60" t="n"/>
      <c r="B258" s="60" t="n"/>
      <c r="C258" s="60" t="n"/>
      <c r="D258" s="60" t="n"/>
      <c r="E258" s="60" t="n"/>
      <c r="F258" s="61" t="n"/>
      <c r="G258" s="60" t="n"/>
      <c r="H258" s="60" t="n"/>
      <c r="I258" s="60" t="n"/>
      <c r="J258" s="61" t="n"/>
      <c r="K258" s="60" t="n"/>
      <c r="L258" s="60" t="n"/>
      <c r="M258" s="60" t="n"/>
      <c r="N258" s="60" t="n"/>
      <c r="O258" s="61" t="n"/>
      <c r="P258" s="60" t="n"/>
      <c r="Q258" s="60" t="n"/>
      <c r="R258" s="60" t="n"/>
      <c r="S258" s="60" t="n"/>
      <c r="T258" s="60" t="n"/>
      <c r="U258" s="60" t="n"/>
      <c r="V258" s="60" t="n"/>
      <c r="W258" s="60" t="n"/>
      <c r="X258" s="62" t="n"/>
      <c r="Y258" s="63">
        <f>IF($A258="","",IF(OR($W258&lt;&gt;"Yes",$X258="",TODAY()-$X258&gt;90),"At Risk","Not At Risk"))</f>
        <v/>
      </c>
      <c r="Z258" s="61" t="n"/>
    </row>
    <row r="259" ht="15" customHeight="1" s="39">
      <c r="A259" s="60" t="n"/>
      <c r="B259" s="60" t="n"/>
      <c r="C259" s="60" t="n"/>
      <c r="D259" s="60" t="n"/>
      <c r="E259" s="60" t="n"/>
      <c r="F259" s="61" t="n"/>
      <c r="G259" s="60" t="n"/>
      <c r="H259" s="60" t="n"/>
      <c r="I259" s="60" t="n"/>
      <c r="J259" s="61" t="n"/>
      <c r="K259" s="60" t="n"/>
      <c r="L259" s="60" t="n"/>
      <c r="M259" s="60" t="n"/>
      <c r="N259" s="60" t="n"/>
      <c r="O259" s="61" t="n"/>
      <c r="P259" s="60" t="n"/>
      <c r="Q259" s="60" t="n"/>
      <c r="R259" s="60" t="n"/>
      <c r="S259" s="60" t="n"/>
      <c r="T259" s="60" t="n"/>
      <c r="U259" s="60" t="n"/>
      <c r="V259" s="60" t="n"/>
      <c r="W259" s="60" t="n"/>
      <c r="X259" s="62" t="n"/>
      <c r="Y259" s="63">
        <f>IF($A259="","",IF(OR($W259&lt;&gt;"Yes",$X259="",TODAY()-$X259&gt;90),"At Risk","Not At Risk"))</f>
        <v/>
      </c>
      <c r="Z259" s="61" t="n"/>
    </row>
    <row r="260" ht="15" customHeight="1" s="39">
      <c r="A260" s="60" t="n"/>
      <c r="B260" s="60" t="n"/>
      <c r="C260" s="60" t="n"/>
      <c r="D260" s="60" t="n"/>
      <c r="E260" s="60" t="n"/>
      <c r="F260" s="61" t="n"/>
      <c r="G260" s="60" t="n"/>
      <c r="H260" s="60" t="n"/>
      <c r="I260" s="60" t="n"/>
      <c r="J260" s="61" t="n"/>
      <c r="K260" s="60" t="n"/>
      <c r="L260" s="60" t="n"/>
      <c r="M260" s="60" t="n"/>
      <c r="N260" s="60" t="n"/>
      <c r="O260" s="61" t="n"/>
      <c r="P260" s="60" t="n"/>
      <c r="Q260" s="60" t="n"/>
      <c r="R260" s="60" t="n"/>
      <c r="S260" s="60" t="n"/>
      <c r="T260" s="60" t="n"/>
      <c r="U260" s="60" t="n"/>
      <c r="V260" s="60" t="n"/>
      <c r="W260" s="60" t="n"/>
      <c r="X260" s="62" t="n"/>
      <c r="Y260" s="63">
        <f>IF($A260="","",IF(OR($W260&lt;&gt;"Yes",$X260="",TODAY()-$X260&gt;90),"At Risk","Not At Risk"))</f>
        <v/>
      </c>
      <c r="Z260" s="61" t="n"/>
    </row>
    <row r="261" ht="15" customHeight="1" s="39">
      <c r="A261" s="60" t="n"/>
      <c r="B261" s="60" t="n"/>
      <c r="C261" s="60" t="n"/>
      <c r="D261" s="60" t="n"/>
      <c r="E261" s="60" t="n"/>
      <c r="F261" s="61" t="n"/>
      <c r="G261" s="60" t="n"/>
      <c r="H261" s="60" t="n"/>
      <c r="I261" s="60" t="n"/>
      <c r="J261" s="61" t="n"/>
      <c r="K261" s="60" t="n"/>
      <c r="L261" s="60" t="n"/>
      <c r="M261" s="60" t="n"/>
      <c r="N261" s="60" t="n"/>
      <c r="O261" s="61" t="n"/>
      <c r="P261" s="60" t="n"/>
      <c r="Q261" s="60" t="n"/>
      <c r="R261" s="60" t="n"/>
      <c r="S261" s="60" t="n"/>
      <c r="T261" s="60" t="n"/>
      <c r="U261" s="60" t="n"/>
      <c r="V261" s="60" t="n"/>
      <c r="W261" s="60" t="n"/>
      <c r="X261" s="62" t="n"/>
      <c r="Y261" s="63">
        <f>IF($A261="","",IF(OR($W261&lt;&gt;"Yes",$X261="",TODAY()-$X261&gt;90),"At Risk","Not At Risk"))</f>
        <v/>
      </c>
      <c r="Z261" s="61" t="n"/>
    </row>
    <row r="262" ht="15" customHeight="1" s="39">
      <c r="A262" s="60" t="n"/>
      <c r="B262" s="60" t="n"/>
      <c r="C262" s="60" t="n"/>
      <c r="D262" s="60" t="n"/>
      <c r="E262" s="60" t="n"/>
      <c r="F262" s="61" t="n"/>
      <c r="G262" s="60" t="n"/>
      <c r="H262" s="60" t="n"/>
      <c r="I262" s="60" t="n"/>
      <c r="J262" s="61" t="n"/>
      <c r="K262" s="60" t="n"/>
      <c r="L262" s="60" t="n"/>
      <c r="M262" s="60" t="n"/>
      <c r="N262" s="60" t="n"/>
      <c r="O262" s="61" t="n"/>
      <c r="P262" s="60" t="n"/>
      <c r="Q262" s="60" t="n"/>
      <c r="R262" s="60" t="n"/>
      <c r="S262" s="60" t="n"/>
      <c r="T262" s="60" t="n"/>
      <c r="U262" s="60" t="n"/>
      <c r="V262" s="60" t="n"/>
      <c r="W262" s="60" t="n"/>
      <c r="X262" s="62" t="n"/>
      <c r="Y262" s="63">
        <f>IF($A262="","",IF(OR($W262&lt;&gt;"Yes",$X262="",TODAY()-$X262&gt;90),"At Risk","Not At Risk"))</f>
        <v/>
      </c>
      <c r="Z262" s="61" t="n"/>
    </row>
    <row r="263" ht="15" customHeight="1" s="39">
      <c r="A263" s="60" t="n"/>
      <c r="B263" s="60" t="n"/>
      <c r="C263" s="60" t="n"/>
      <c r="D263" s="60" t="n"/>
      <c r="E263" s="60" t="n"/>
      <c r="F263" s="61" t="n"/>
      <c r="G263" s="60" t="n"/>
      <c r="H263" s="60" t="n"/>
      <c r="I263" s="60" t="n"/>
      <c r="J263" s="61" t="n"/>
      <c r="K263" s="60" t="n"/>
      <c r="L263" s="60" t="n"/>
      <c r="M263" s="60" t="n"/>
      <c r="N263" s="60" t="n"/>
      <c r="O263" s="61" t="n"/>
      <c r="P263" s="60" t="n"/>
      <c r="Q263" s="60" t="n"/>
      <c r="R263" s="60" t="n"/>
      <c r="S263" s="60" t="n"/>
      <c r="T263" s="60" t="n"/>
      <c r="U263" s="60" t="n"/>
      <c r="V263" s="60" t="n"/>
      <c r="W263" s="60" t="n"/>
      <c r="X263" s="62" t="n"/>
      <c r="Y263" s="63">
        <f>IF($A263="","",IF(OR($W263&lt;&gt;"Yes",$X263="",TODAY()-$X263&gt;90),"At Risk","Not At Risk"))</f>
        <v/>
      </c>
      <c r="Z263" s="61" t="n"/>
    </row>
    <row r="264" ht="15" customHeight="1" s="39">
      <c r="A264" s="60" t="n"/>
      <c r="B264" s="60" t="n"/>
      <c r="C264" s="60" t="n"/>
      <c r="D264" s="60" t="n"/>
      <c r="E264" s="60" t="n"/>
      <c r="F264" s="61" t="n"/>
      <c r="G264" s="60" t="n"/>
      <c r="H264" s="60" t="n"/>
      <c r="I264" s="60" t="n"/>
      <c r="J264" s="61" t="n"/>
      <c r="K264" s="60" t="n"/>
      <c r="L264" s="60" t="n"/>
      <c r="M264" s="60" t="n"/>
      <c r="N264" s="60" t="n"/>
      <c r="O264" s="61" t="n"/>
      <c r="P264" s="60" t="n"/>
      <c r="Q264" s="60" t="n"/>
      <c r="R264" s="60" t="n"/>
      <c r="S264" s="60" t="n"/>
      <c r="T264" s="60" t="n"/>
      <c r="U264" s="60" t="n"/>
      <c r="V264" s="60" t="n"/>
      <c r="W264" s="60" t="n"/>
      <c r="X264" s="62" t="n"/>
      <c r="Y264" s="63">
        <f>IF($A264="","",IF(OR($W264&lt;&gt;"Yes",$X264="",TODAY()-$X264&gt;90),"At Risk","Not At Risk"))</f>
        <v/>
      </c>
      <c r="Z264" s="61" t="n"/>
    </row>
    <row r="265" ht="15" customHeight="1" s="39">
      <c r="A265" s="60" t="n"/>
      <c r="B265" s="60" t="n"/>
      <c r="C265" s="60" t="n"/>
      <c r="D265" s="60" t="n"/>
      <c r="E265" s="60" t="n"/>
      <c r="F265" s="61" t="n"/>
      <c r="G265" s="60" t="n"/>
      <c r="H265" s="60" t="n"/>
      <c r="I265" s="60" t="n"/>
      <c r="J265" s="61" t="n"/>
      <c r="K265" s="60" t="n"/>
      <c r="L265" s="60" t="n"/>
      <c r="M265" s="60" t="n"/>
      <c r="N265" s="60" t="n"/>
      <c r="O265" s="61" t="n"/>
      <c r="P265" s="60" t="n"/>
      <c r="Q265" s="60" t="n"/>
      <c r="R265" s="60" t="n"/>
      <c r="S265" s="60" t="n"/>
      <c r="T265" s="60" t="n"/>
      <c r="U265" s="60" t="n"/>
      <c r="V265" s="60" t="n"/>
      <c r="W265" s="60" t="n"/>
      <c r="X265" s="62" t="n"/>
      <c r="Y265" s="63">
        <f>IF($A265="","",IF(OR($W265&lt;&gt;"Yes",$X265="",TODAY()-$X265&gt;90),"At Risk","Not At Risk"))</f>
        <v/>
      </c>
      <c r="Z265" s="61" t="n"/>
    </row>
    <row r="266" ht="15" customHeight="1" s="39">
      <c r="A266" s="60" t="n"/>
      <c r="B266" s="60" t="n"/>
      <c r="C266" s="60" t="n"/>
      <c r="D266" s="60" t="n"/>
      <c r="E266" s="60" t="n"/>
      <c r="F266" s="61" t="n"/>
      <c r="G266" s="60" t="n"/>
      <c r="H266" s="60" t="n"/>
      <c r="I266" s="60" t="n"/>
      <c r="J266" s="61" t="n"/>
      <c r="K266" s="60" t="n"/>
      <c r="L266" s="60" t="n"/>
      <c r="M266" s="60" t="n"/>
      <c r="N266" s="60" t="n"/>
      <c r="O266" s="61" t="n"/>
      <c r="P266" s="60" t="n"/>
      <c r="Q266" s="60" t="n"/>
      <c r="R266" s="60" t="n"/>
      <c r="S266" s="60" t="n"/>
      <c r="T266" s="60" t="n"/>
      <c r="U266" s="60" t="n"/>
      <c r="V266" s="60" t="n"/>
      <c r="W266" s="60" t="n"/>
      <c r="X266" s="62" t="n"/>
      <c r="Y266" s="63">
        <f>IF($A266="","",IF(OR($W266&lt;&gt;"Yes",$X266="",TODAY()-$X266&gt;90),"At Risk","Not At Risk"))</f>
        <v/>
      </c>
      <c r="Z266" s="61" t="n"/>
    </row>
    <row r="267" ht="15" customHeight="1" s="39">
      <c r="A267" s="60" t="n"/>
      <c r="B267" s="60" t="n"/>
      <c r="C267" s="60" t="n"/>
      <c r="D267" s="60" t="n"/>
      <c r="E267" s="60" t="n"/>
      <c r="F267" s="61" t="n"/>
      <c r="G267" s="60" t="n"/>
      <c r="H267" s="60" t="n"/>
      <c r="I267" s="60" t="n"/>
      <c r="J267" s="61" t="n"/>
      <c r="K267" s="60" t="n"/>
      <c r="L267" s="60" t="n"/>
      <c r="M267" s="60" t="n"/>
      <c r="N267" s="60" t="n"/>
      <c r="O267" s="61" t="n"/>
      <c r="P267" s="60" t="n"/>
      <c r="Q267" s="60" t="n"/>
      <c r="R267" s="60" t="n"/>
      <c r="S267" s="60" t="n"/>
      <c r="T267" s="60" t="n"/>
      <c r="U267" s="60" t="n"/>
      <c r="V267" s="60" t="n"/>
      <c r="W267" s="60" t="n"/>
      <c r="X267" s="62" t="n"/>
      <c r="Y267" s="63">
        <f>IF($A267="","",IF(OR($W267&lt;&gt;"Yes",$X267="",TODAY()-$X267&gt;90),"At Risk","Not At Risk"))</f>
        <v/>
      </c>
      <c r="Z267" s="61" t="n"/>
    </row>
    <row r="268" ht="15" customHeight="1" s="39">
      <c r="A268" s="60" t="n"/>
      <c r="B268" s="60" t="n"/>
      <c r="C268" s="60" t="n"/>
      <c r="D268" s="60" t="n"/>
      <c r="E268" s="60" t="n"/>
      <c r="F268" s="61" t="n"/>
      <c r="G268" s="60" t="n"/>
      <c r="H268" s="60" t="n"/>
      <c r="I268" s="60" t="n"/>
      <c r="J268" s="61" t="n"/>
      <c r="K268" s="60" t="n"/>
      <c r="L268" s="60" t="n"/>
      <c r="M268" s="60" t="n"/>
      <c r="N268" s="60" t="n"/>
      <c r="O268" s="61" t="n"/>
      <c r="P268" s="60" t="n"/>
      <c r="Q268" s="60" t="n"/>
      <c r="R268" s="60" t="n"/>
      <c r="S268" s="60" t="n"/>
      <c r="T268" s="60" t="n"/>
      <c r="U268" s="60" t="n"/>
      <c r="V268" s="60" t="n"/>
      <c r="W268" s="60" t="n"/>
      <c r="X268" s="62" t="n"/>
      <c r="Y268" s="63">
        <f>IF($A268="","",IF(OR($W268&lt;&gt;"Yes",$X268="",TODAY()-$X268&gt;90),"At Risk","Not At Risk"))</f>
        <v/>
      </c>
      <c r="Z268" s="61" t="n"/>
    </row>
    <row r="269" ht="15" customHeight="1" s="39">
      <c r="A269" s="60" t="n"/>
      <c r="B269" s="60" t="n"/>
      <c r="C269" s="60" t="n"/>
      <c r="D269" s="60" t="n"/>
      <c r="E269" s="60" t="n"/>
      <c r="F269" s="61" t="n"/>
      <c r="G269" s="60" t="n"/>
      <c r="H269" s="60" t="n"/>
      <c r="I269" s="60" t="n"/>
      <c r="J269" s="61" t="n"/>
      <c r="K269" s="60" t="n"/>
      <c r="L269" s="60" t="n"/>
      <c r="M269" s="60" t="n"/>
      <c r="N269" s="60" t="n"/>
      <c r="O269" s="61" t="n"/>
      <c r="P269" s="60" t="n"/>
      <c r="Q269" s="60" t="n"/>
      <c r="R269" s="60" t="n"/>
      <c r="S269" s="60" t="n"/>
      <c r="T269" s="60" t="n"/>
      <c r="U269" s="60" t="n"/>
      <c r="V269" s="60" t="n"/>
      <c r="W269" s="60" t="n"/>
      <c r="X269" s="62" t="n"/>
      <c r="Y269" s="63">
        <f>IF($A269="","",IF(OR($W269&lt;&gt;"Yes",$X269="",TODAY()-$X269&gt;90),"At Risk","Not At Risk"))</f>
        <v/>
      </c>
      <c r="Z269" s="61" t="n"/>
    </row>
    <row r="270" ht="15" customHeight="1" s="39">
      <c r="A270" s="60" t="n"/>
      <c r="B270" s="60" t="n"/>
      <c r="C270" s="60" t="n"/>
      <c r="D270" s="60" t="n"/>
      <c r="E270" s="60" t="n"/>
      <c r="F270" s="61" t="n"/>
      <c r="G270" s="60" t="n"/>
      <c r="H270" s="60" t="n"/>
      <c r="I270" s="60" t="n"/>
      <c r="J270" s="61" t="n"/>
      <c r="K270" s="60" t="n"/>
      <c r="L270" s="60" t="n"/>
      <c r="M270" s="60" t="n"/>
      <c r="N270" s="60" t="n"/>
      <c r="O270" s="61" t="n"/>
      <c r="P270" s="60" t="n"/>
      <c r="Q270" s="60" t="n"/>
      <c r="R270" s="60" t="n"/>
      <c r="S270" s="60" t="n"/>
      <c r="T270" s="60" t="n"/>
      <c r="U270" s="60" t="n"/>
      <c r="V270" s="60" t="n"/>
      <c r="W270" s="60" t="n"/>
      <c r="X270" s="62" t="n"/>
      <c r="Y270" s="63">
        <f>IF($A270="","",IF(OR($W270&lt;&gt;"Yes",$X270="",TODAY()-$X270&gt;90),"At Risk","Not At Risk"))</f>
        <v/>
      </c>
      <c r="Z270" s="61" t="n"/>
    </row>
    <row r="271" ht="15" customHeight="1" s="39">
      <c r="A271" s="60" t="n"/>
      <c r="B271" s="60" t="n"/>
      <c r="C271" s="60" t="n"/>
      <c r="D271" s="60" t="n"/>
      <c r="E271" s="60" t="n"/>
      <c r="F271" s="61" t="n"/>
      <c r="G271" s="60" t="n"/>
      <c r="H271" s="60" t="n"/>
      <c r="I271" s="60" t="n"/>
      <c r="J271" s="61" t="n"/>
      <c r="K271" s="60" t="n"/>
      <c r="L271" s="60" t="n"/>
      <c r="M271" s="60" t="n"/>
      <c r="N271" s="60" t="n"/>
      <c r="O271" s="61" t="n"/>
      <c r="P271" s="60" t="n"/>
      <c r="Q271" s="60" t="n"/>
      <c r="R271" s="60" t="n"/>
      <c r="S271" s="60" t="n"/>
      <c r="T271" s="60" t="n"/>
      <c r="U271" s="60" t="n"/>
      <c r="V271" s="60" t="n"/>
      <c r="W271" s="60" t="n"/>
      <c r="X271" s="62" t="n"/>
      <c r="Y271" s="63">
        <f>IF($A271="","",IF(OR($W271&lt;&gt;"Yes",$X271="",TODAY()-$X271&gt;90),"At Risk","Not At Risk"))</f>
        <v/>
      </c>
      <c r="Z271" s="61" t="n"/>
    </row>
    <row r="272" ht="15" customHeight="1" s="39">
      <c r="A272" s="60" t="n"/>
      <c r="B272" s="60" t="n"/>
      <c r="C272" s="60" t="n"/>
      <c r="D272" s="60" t="n"/>
      <c r="E272" s="60" t="n"/>
      <c r="F272" s="61" t="n"/>
      <c r="G272" s="60" t="n"/>
      <c r="H272" s="60" t="n"/>
      <c r="I272" s="60" t="n"/>
      <c r="J272" s="61" t="n"/>
      <c r="K272" s="60" t="n"/>
      <c r="L272" s="60" t="n"/>
      <c r="M272" s="60" t="n"/>
      <c r="N272" s="60" t="n"/>
      <c r="O272" s="61" t="n"/>
      <c r="P272" s="60" t="n"/>
      <c r="Q272" s="60" t="n"/>
      <c r="R272" s="60" t="n"/>
      <c r="S272" s="60" t="n"/>
      <c r="T272" s="60" t="n"/>
      <c r="U272" s="60" t="n"/>
      <c r="V272" s="60" t="n"/>
      <c r="W272" s="60" t="n"/>
      <c r="X272" s="62" t="n"/>
      <c r="Y272" s="63">
        <f>IF($A272="","",IF(OR($W272&lt;&gt;"Yes",$X272="",TODAY()-$X272&gt;90),"At Risk","Not At Risk"))</f>
        <v/>
      </c>
      <c r="Z272" s="61" t="n"/>
    </row>
    <row r="273" ht="15" customHeight="1" s="39">
      <c r="A273" s="60" t="n"/>
      <c r="B273" s="60" t="n"/>
      <c r="C273" s="60" t="n"/>
      <c r="D273" s="60" t="n"/>
      <c r="E273" s="60" t="n"/>
      <c r="F273" s="61" t="n"/>
      <c r="G273" s="60" t="n"/>
      <c r="H273" s="60" t="n"/>
      <c r="I273" s="60" t="n"/>
      <c r="J273" s="61" t="n"/>
      <c r="K273" s="60" t="n"/>
      <c r="L273" s="60" t="n"/>
      <c r="M273" s="60" t="n"/>
      <c r="N273" s="60" t="n"/>
      <c r="O273" s="61" t="n"/>
      <c r="P273" s="60" t="n"/>
      <c r="Q273" s="60" t="n"/>
      <c r="R273" s="60" t="n"/>
      <c r="S273" s="60" t="n"/>
      <c r="T273" s="60" t="n"/>
      <c r="U273" s="60" t="n"/>
      <c r="V273" s="60" t="n"/>
      <c r="W273" s="60" t="n"/>
      <c r="X273" s="62" t="n"/>
      <c r="Y273" s="63">
        <f>IF($A273="","",IF(OR($W273&lt;&gt;"Yes",$X273="",TODAY()-$X273&gt;90),"At Risk","Not At Risk"))</f>
        <v/>
      </c>
      <c r="Z273" s="61" t="n"/>
    </row>
    <row r="274" ht="15" customHeight="1" s="39">
      <c r="A274" s="60" t="n"/>
      <c r="B274" s="60" t="n"/>
      <c r="C274" s="60" t="n"/>
      <c r="D274" s="60" t="n"/>
      <c r="E274" s="60" t="n"/>
      <c r="F274" s="61" t="n"/>
      <c r="G274" s="60" t="n"/>
      <c r="H274" s="60" t="n"/>
      <c r="I274" s="60" t="n"/>
      <c r="J274" s="61" t="n"/>
      <c r="K274" s="60" t="n"/>
      <c r="L274" s="60" t="n"/>
      <c r="M274" s="60" t="n"/>
      <c r="N274" s="60" t="n"/>
      <c r="O274" s="61" t="n"/>
      <c r="P274" s="60" t="n"/>
      <c r="Q274" s="60" t="n"/>
      <c r="R274" s="60" t="n"/>
      <c r="S274" s="60" t="n"/>
      <c r="T274" s="60" t="n"/>
      <c r="U274" s="60" t="n"/>
      <c r="V274" s="60" t="n"/>
      <c r="W274" s="60" t="n"/>
      <c r="X274" s="62" t="n"/>
      <c r="Y274" s="63">
        <f>IF($A274="","",IF(OR($W274&lt;&gt;"Yes",$X274="",TODAY()-$X274&gt;90),"At Risk","Not At Risk"))</f>
        <v/>
      </c>
      <c r="Z274" s="61" t="n"/>
    </row>
    <row r="275" ht="15" customHeight="1" s="39">
      <c r="A275" s="60" t="n"/>
      <c r="B275" s="60" t="n"/>
      <c r="C275" s="60" t="n"/>
      <c r="D275" s="60" t="n"/>
      <c r="E275" s="60" t="n"/>
      <c r="F275" s="61" t="n"/>
      <c r="G275" s="60" t="n"/>
      <c r="H275" s="60" t="n"/>
      <c r="I275" s="60" t="n"/>
      <c r="J275" s="61" t="n"/>
      <c r="K275" s="60" t="n"/>
      <c r="L275" s="60" t="n"/>
      <c r="M275" s="60" t="n"/>
      <c r="N275" s="60" t="n"/>
      <c r="O275" s="61" t="n"/>
      <c r="P275" s="60" t="n"/>
      <c r="Q275" s="60" t="n"/>
      <c r="R275" s="60" t="n"/>
      <c r="S275" s="60" t="n"/>
      <c r="T275" s="60" t="n"/>
      <c r="U275" s="60" t="n"/>
      <c r="V275" s="60" t="n"/>
      <c r="W275" s="60" t="n"/>
      <c r="X275" s="62" t="n"/>
      <c r="Y275" s="63">
        <f>IF($A275="","",IF(OR($W275&lt;&gt;"Yes",$X275="",TODAY()-$X275&gt;90),"At Risk","Not At Risk"))</f>
        <v/>
      </c>
      <c r="Z275" s="61" t="n"/>
    </row>
    <row r="276" ht="15" customHeight="1" s="39">
      <c r="A276" s="60" t="n"/>
      <c r="B276" s="60" t="n"/>
      <c r="C276" s="60" t="n"/>
      <c r="D276" s="60" t="n"/>
      <c r="E276" s="60" t="n"/>
      <c r="F276" s="61" t="n"/>
      <c r="G276" s="60" t="n"/>
      <c r="H276" s="60" t="n"/>
      <c r="I276" s="60" t="n"/>
      <c r="J276" s="61" t="n"/>
      <c r="K276" s="60" t="n"/>
      <c r="L276" s="60" t="n"/>
      <c r="M276" s="60" t="n"/>
      <c r="N276" s="60" t="n"/>
      <c r="O276" s="61" t="n"/>
      <c r="P276" s="60" t="n"/>
      <c r="Q276" s="60" t="n"/>
      <c r="R276" s="60" t="n"/>
      <c r="S276" s="60" t="n"/>
      <c r="T276" s="60" t="n"/>
      <c r="U276" s="60" t="n"/>
      <c r="V276" s="60" t="n"/>
      <c r="W276" s="60" t="n"/>
      <c r="X276" s="62" t="n"/>
      <c r="Y276" s="63">
        <f>IF($A276="","",IF(OR($W276&lt;&gt;"Yes",$X276="",TODAY()-$X276&gt;90),"At Risk","Not At Risk"))</f>
        <v/>
      </c>
      <c r="Z276" s="61" t="n"/>
    </row>
    <row r="277" ht="15" customHeight="1" s="39">
      <c r="A277" s="60" t="n"/>
      <c r="B277" s="60" t="n"/>
      <c r="C277" s="60" t="n"/>
      <c r="D277" s="60" t="n"/>
      <c r="E277" s="60" t="n"/>
      <c r="F277" s="61" t="n"/>
      <c r="G277" s="60" t="n"/>
      <c r="H277" s="60" t="n"/>
      <c r="I277" s="60" t="n"/>
      <c r="J277" s="61" t="n"/>
      <c r="K277" s="60" t="n"/>
      <c r="L277" s="60" t="n"/>
      <c r="M277" s="60" t="n"/>
      <c r="N277" s="60" t="n"/>
      <c r="O277" s="61" t="n"/>
      <c r="P277" s="60" t="n"/>
      <c r="Q277" s="60" t="n"/>
      <c r="R277" s="60" t="n"/>
      <c r="S277" s="60" t="n"/>
      <c r="T277" s="60" t="n"/>
      <c r="U277" s="60" t="n"/>
      <c r="V277" s="60" t="n"/>
      <c r="W277" s="60" t="n"/>
      <c r="X277" s="62" t="n"/>
      <c r="Y277" s="63">
        <f>IF($A277="","",IF(OR($W277&lt;&gt;"Yes",$X277="",TODAY()-$X277&gt;90),"At Risk","Not At Risk"))</f>
        <v/>
      </c>
      <c r="Z277" s="61" t="n"/>
    </row>
    <row r="278" ht="15" customHeight="1" s="39">
      <c r="A278" s="60" t="n"/>
      <c r="B278" s="60" t="n"/>
      <c r="C278" s="60" t="n"/>
      <c r="D278" s="60" t="n"/>
      <c r="E278" s="60" t="n"/>
      <c r="F278" s="61" t="n"/>
      <c r="G278" s="60" t="n"/>
      <c r="H278" s="60" t="n"/>
      <c r="I278" s="60" t="n"/>
      <c r="J278" s="61" t="n"/>
      <c r="K278" s="60" t="n"/>
      <c r="L278" s="60" t="n"/>
      <c r="M278" s="60" t="n"/>
      <c r="N278" s="60" t="n"/>
      <c r="O278" s="61" t="n"/>
      <c r="P278" s="60" t="n"/>
      <c r="Q278" s="60" t="n"/>
      <c r="R278" s="60" t="n"/>
      <c r="S278" s="60" t="n"/>
      <c r="T278" s="60" t="n"/>
      <c r="U278" s="60" t="n"/>
      <c r="V278" s="60" t="n"/>
      <c r="W278" s="60" t="n"/>
      <c r="X278" s="62" t="n"/>
      <c r="Y278" s="63">
        <f>IF($A278="","",IF(OR($W278&lt;&gt;"Yes",$X278="",TODAY()-$X278&gt;90),"At Risk","Not At Risk"))</f>
        <v/>
      </c>
      <c r="Z278" s="61" t="n"/>
    </row>
    <row r="279" ht="15" customHeight="1" s="39">
      <c r="A279" s="60" t="n"/>
      <c r="B279" s="60" t="n"/>
      <c r="C279" s="60" t="n"/>
      <c r="D279" s="60" t="n"/>
      <c r="E279" s="60" t="n"/>
      <c r="F279" s="61" t="n"/>
      <c r="G279" s="60" t="n"/>
      <c r="H279" s="60" t="n"/>
      <c r="I279" s="60" t="n"/>
      <c r="J279" s="61" t="n"/>
      <c r="K279" s="60" t="n"/>
      <c r="L279" s="60" t="n"/>
      <c r="M279" s="60" t="n"/>
      <c r="N279" s="60" t="n"/>
      <c r="O279" s="61" t="n"/>
      <c r="P279" s="60" t="n"/>
      <c r="Q279" s="60" t="n"/>
      <c r="R279" s="60" t="n"/>
      <c r="S279" s="60" t="n"/>
      <c r="T279" s="60" t="n"/>
      <c r="U279" s="60" t="n"/>
      <c r="V279" s="60" t="n"/>
      <c r="W279" s="60" t="n"/>
      <c r="X279" s="62" t="n"/>
      <c r="Y279" s="63">
        <f>IF($A279="","",IF(OR($W279&lt;&gt;"Yes",$X279="",TODAY()-$X279&gt;90),"At Risk","Not At Risk"))</f>
        <v/>
      </c>
      <c r="Z279" s="61" t="n"/>
    </row>
    <row r="280" ht="15" customHeight="1" s="39">
      <c r="A280" s="60" t="n"/>
      <c r="B280" s="60" t="n"/>
      <c r="C280" s="60" t="n"/>
      <c r="D280" s="60" t="n"/>
      <c r="E280" s="60" t="n"/>
      <c r="F280" s="61" t="n"/>
      <c r="G280" s="60" t="n"/>
      <c r="H280" s="60" t="n"/>
      <c r="I280" s="60" t="n"/>
      <c r="J280" s="61" t="n"/>
      <c r="K280" s="60" t="n"/>
      <c r="L280" s="60" t="n"/>
      <c r="M280" s="60" t="n"/>
      <c r="N280" s="60" t="n"/>
      <c r="O280" s="61" t="n"/>
      <c r="P280" s="60" t="n"/>
      <c r="Q280" s="60" t="n"/>
      <c r="R280" s="60" t="n"/>
      <c r="S280" s="60" t="n"/>
      <c r="T280" s="60" t="n"/>
      <c r="U280" s="60" t="n"/>
      <c r="V280" s="60" t="n"/>
      <c r="W280" s="60" t="n"/>
      <c r="X280" s="62" t="n"/>
      <c r="Y280" s="63">
        <f>IF($A280="","",IF(OR($W280&lt;&gt;"Yes",$X280="",TODAY()-$X280&gt;90),"At Risk","Not At Risk"))</f>
        <v/>
      </c>
      <c r="Z280" s="61" t="n"/>
    </row>
    <row r="281" ht="15" customHeight="1" s="39">
      <c r="A281" s="60" t="n"/>
      <c r="B281" s="60" t="n"/>
      <c r="C281" s="60" t="n"/>
      <c r="D281" s="60" t="n"/>
      <c r="E281" s="60" t="n"/>
      <c r="F281" s="61" t="n"/>
      <c r="G281" s="60" t="n"/>
      <c r="H281" s="60" t="n"/>
      <c r="I281" s="60" t="n"/>
      <c r="J281" s="61" t="n"/>
      <c r="K281" s="60" t="n"/>
      <c r="L281" s="60" t="n"/>
      <c r="M281" s="60" t="n"/>
      <c r="N281" s="60" t="n"/>
      <c r="O281" s="61" t="n"/>
      <c r="P281" s="60" t="n"/>
      <c r="Q281" s="60" t="n"/>
      <c r="R281" s="60" t="n"/>
      <c r="S281" s="60" t="n"/>
      <c r="T281" s="60" t="n"/>
      <c r="U281" s="60" t="n"/>
      <c r="V281" s="60" t="n"/>
      <c r="W281" s="60" t="n"/>
      <c r="X281" s="62" t="n"/>
      <c r="Y281" s="63">
        <f>IF($A281="","",IF(OR($W281&lt;&gt;"Yes",$X281="",TODAY()-$X281&gt;90),"At Risk","Not At Risk"))</f>
        <v/>
      </c>
      <c r="Z281" s="61" t="n"/>
    </row>
    <row r="282" ht="15" customHeight="1" s="39">
      <c r="A282" s="60" t="n"/>
      <c r="B282" s="60" t="n"/>
      <c r="C282" s="60" t="n"/>
      <c r="D282" s="60" t="n"/>
      <c r="E282" s="60" t="n"/>
      <c r="F282" s="61" t="n"/>
      <c r="G282" s="60" t="n"/>
      <c r="H282" s="60" t="n"/>
      <c r="I282" s="60" t="n"/>
      <c r="J282" s="61" t="n"/>
      <c r="K282" s="60" t="n"/>
      <c r="L282" s="60" t="n"/>
      <c r="M282" s="60" t="n"/>
      <c r="N282" s="60" t="n"/>
      <c r="O282" s="61" t="n"/>
      <c r="P282" s="60" t="n"/>
      <c r="Q282" s="60" t="n"/>
      <c r="R282" s="60" t="n"/>
      <c r="S282" s="60" t="n"/>
      <c r="T282" s="60" t="n"/>
      <c r="U282" s="60" t="n"/>
      <c r="V282" s="60" t="n"/>
      <c r="W282" s="60" t="n"/>
      <c r="X282" s="62" t="n"/>
      <c r="Y282" s="63">
        <f>IF($A282="","",IF(OR($W282&lt;&gt;"Yes",$X282="",TODAY()-$X282&gt;90),"At Risk","Not At Risk"))</f>
        <v/>
      </c>
      <c r="Z282" s="61" t="n"/>
    </row>
    <row r="283" ht="15" customHeight="1" s="39">
      <c r="A283" s="60" t="n"/>
      <c r="B283" s="60" t="n"/>
      <c r="C283" s="60" t="n"/>
      <c r="D283" s="60" t="n"/>
      <c r="E283" s="60" t="n"/>
      <c r="F283" s="61" t="n"/>
      <c r="G283" s="60" t="n"/>
      <c r="H283" s="60" t="n"/>
      <c r="I283" s="60" t="n"/>
      <c r="J283" s="61" t="n"/>
      <c r="K283" s="60" t="n"/>
      <c r="L283" s="60" t="n"/>
      <c r="M283" s="60" t="n"/>
      <c r="N283" s="60" t="n"/>
      <c r="O283" s="61" t="n"/>
      <c r="P283" s="60" t="n"/>
      <c r="Q283" s="60" t="n"/>
      <c r="R283" s="60" t="n"/>
      <c r="S283" s="60" t="n"/>
      <c r="T283" s="60" t="n"/>
      <c r="U283" s="60" t="n"/>
      <c r="V283" s="60" t="n"/>
      <c r="W283" s="60" t="n"/>
      <c r="X283" s="62" t="n"/>
      <c r="Y283" s="63">
        <f>IF($A283="","",IF(OR($W283&lt;&gt;"Yes",$X283="",TODAY()-$X283&gt;90),"At Risk","Not At Risk"))</f>
        <v/>
      </c>
      <c r="Z283" s="61" t="n"/>
    </row>
    <row r="284" ht="15" customHeight="1" s="39">
      <c r="A284" s="60" t="n"/>
      <c r="B284" s="60" t="n"/>
      <c r="C284" s="60" t="n"/>
      <c r="D284" s="60" t="n"/>
      <c r="E284" s="60" t="n"/>
      <c r="F284" s="61" t="n"/>
      <c r="G284" s="60" t="n"/>
      <c r="H284" s="60" t="n"/>
      <c r="I284" s="60" t="n"/>
      <c r="J284" s="61" t="n"/>
      <c r="K284" s="60" t="n"/>
      <c r="L284" s="60" t="n"/>
      <c r="M284" s="60" t="n"/>
      <c r="N284" s="60" t="n"/>
      <c r="O284" s="61" t="n"/>
      <c r="P284" s="60" t="n"/>
      <c r="Q284" s="60" t="n"/>
      <c r="R284" s="60" t="n"/>
      <c r="S284" s="60" t="n"/>
      <c r="T284" s="60" t="n"/>
      <c r="U284" s="60" t="n"/>
      <c r="V284" s="60" t="n"/>
      <c r="W284" s="60" t="n"/>
      <c r="X284" s="62" t="n"/>
      <c r="Y284" s="63">
        <f>IF($A284="","",IF(OR($W284&lt;&gt;"Yes",$X284="",TODAY()-$X284&gt;90),"At Risk","Not At Risk"))</f>
        <v/>
      </c>
      <c r="Z284" s="61" t="n"/>
    </row>
    <row r="285" ht="15" customHeight="1" s="39">
      <c r="A285" s="60" t="n"/>
      <c r="B285" s="60" t="n"/>
      <c r="C285" s="60" t="n"/>
      <c r="D285" s="60" t="n"/>
      <c r="E285" s="60" t="n"/>
      <c r="F285" s="61" t="n"/>
      <c r="G285" s="60" t="n"/>
      <c r="H285" s="60" t="n"/>
      <c r="I285" s="60" t="n"/>
      <c r="J285" s="61" t="n"/>
      <c r="K285" s="60" t="n"/>
      <c r="L285" s="60" t="n"/>
      <c r="M285" s="60" t="n"/>
      <c r="N285" s="60" t="n"/>
      <c r="O285" s="61" t="n"/>
      <c r="P285" s="60" t="n"/>
      <c r="Q285" s="60" t="n"/>
      <c r="R285" s="60" t="n"/>
      <c r="S285" s="60" t="n"/>
      <c r="T285" s="60" t="n"/>
      <c r="U285" s="60" t="n"/>
      <c r="V285" s="60" t="n"/>
      <c r="W285" s="60" t="n"/>
      <c r="X285" s="62" t="n"/>
      <c r="Y285" s="63">
        <f>IF($A285="","",IF(OR($W285&lt;&gt;"Yes",$X285="",TODAY()-$X285&gt;90),"At Risk","Not At Risk"))</f>
        <v/>
      </c>
      <c r="Z285" s="61" t="n"/>
    </row>
    <row r="286" ht="15" customHeight="1" s="39">
      <c r="A286" s="60" t="n"/>
      <c r="B286" s="60" t="n"/>
      <c r="C286" s="60" t="n"/>
      <c r="D286" s="60" t="n"/>
      <c r="E286" s="60" t="n"/>
      <c r="F286" s="61" t="n"/>
      <c r="G286" s="60" t="n"/>
      <c r="H286" s="60" t="n"/>
      <c r="I286" s="60" t="n"/>
      <c r="J286" s="61" t="n"/>
      <c r="K286" s="60" t="n"/>
      <c r="L286" s="60" t="n"/>
      <c r="M286" s="60" t="n"/>
      <c r="N286" s="60" t="n"/>
      <c r="O286" s="61" t="n"/>
      <c r="P286" s="60" t="n"/>
      <c r="Q286" s="60" t="n"/>
      <c r="R286" s="60" t="n"/>
      <c r="S286" s="60" t="n"/>
      <c r="T286" s="60" t="n"/>
      <c r="U286" s="60" t="n"/>
      <c r="V286" s="60" t="n"/>
      <c r="W286" s="60" t="n"/>
      <c r="X286" s="62" t="n"/>
      <c r="Y286" s="63">
        <f>IF($A286="","",IF(OR($W286&lt;&gt;"Yes",$X286="",TODAY()-$X286&gt;90),"At Risk","Not At Risk"))</f>
        <v/>
      </c>
      <c r="Z286" s="61" t="n"/>
    </row>
    <row r="287" ht="15" customHeight="1" s="39">
      <c r="A287" s="60" t="n"/>
      <c r="B287" s="60" t="n"/>
      <c r="C287" s="60" t="n"/>
      <c r="D287" s="60" t="n"/>
      <c r="E287" s="60" t="n"/>
      <c r="F287" s="61" t="n"/>
      <c r="G287" s="60" t="n"/>
      <c r="H287" s="60" t="n"/>
      <c r="I287" s="60" t="n"/>
      <c r="J287" s="61" t="n"/>
      <c r="K287" s="60" t="n"/>
      <c r="L287" s="60" t="n"/>
      <c r="M287" s="60" t="n"/>
      <c r="N287" s="60" t="n"/>
      <c r="O287" s="61" t="n"/>
      <c r="P287" s="60" t="n"/>
      <c r="Q287" s="60" t="n"/>
      <c r="R287" s="60" t="n"/>
      <c r="S287" s="60" t="n"/>
      <c r="T287" s="60" t="n"/>
      <c r="U287" s="60" t="n"/>
      <c r="V287" s="60" t="n"/>
      <c r="W287" s="60" t="n"/>
      <c r="X287" s="62" t="n"/>
      <c r="Y287" s="63">
        <f>IF($A287="","",IF(OR($W287&lt;&gt;"Yes",$X287="",TODAY()-$X287&gt;90),"At Risk","Not At Risk"))</f>
        <v/>
      </c>
      <c r="Z287" s="61" t="n"/>
    </row>
    <row r="288" ht="15" customHeight="1" s="39">
      <c r="A288" s="60" t="n"/>
      <c r="B288" s="60" t="n"/>
      <c r="C288" s="60" t="n"/>
      <c r="D288" s="60" t="n"/>
      <c r="E288" s="60" t="n"/>
      <c r="F288" s="61" t="n"/>
      <c r="G288" s="60" t="n"/>
      <c r="H288" s="60" t="n"/>
      <c r="I288" s="60" t="n"/>
      <c r="J288" s="61" t="n"/>
      <c r="K288" s="60" t="n"/>
      <c r="L288" s="60" t="n"/>
      <c r="M288" s="60" t="n"/>
      <c r="N288" s="60" t="n"/>
      <c r="O288" s="61" t="n"/>
      <c r="P288" s="60" t="n"/>
      <c r="Q288" s="60" t="n"/>
      <c r="R288" s="60" t="n"/>
      <c r="S288" s="60" t="n"/>
      <c r="T288" s="60" t="n"/>
      <c r="U288" s="60" t="n"/>
      <c r="V288" s="60" t="n"/>
      <c r="W288" s="60" t="n"/>
      <c r="X288" s="62" t="n"/>
      <c r="Y288" s="63">
        <f>IF($A288="","",IF(OR($W288&lt;&gt;"Yes",$X288="",TODAY()-$X288&gt;90),"At Risk","Not At Risk"))</f>
        <v/>
      </c>
      <c r="Z288" s="61" t="n"/>
    </row>
    <row r="289" ht="15" customHeight="1" s="39">
      <c r="A289" s="60" t="n"/>
      <c r="B289" s="60" t="n"/>
      <c r="C289" s="60" t="n"/>
      <c r="D289" s="60" t="n"/>
      <c r="E289" s="60" t="n"/>
      <c r="F289" s="61" t="n"/>
      <c r="G289" s="60" t="n"/>
      <c r="H289" s="60" t="n"/>
      <c r="I289" s="60" t="n"/>
      <c r="J289" s="61" t="n"/>
      <c r="K289" s="60" t="n"/>
      <c r="L289" s="60" t="n"/>
      <c r="M289" s="60" t="n"/>
      <c r="N289" s="60" t="n"/>
      <c r="O289" s="61" t="n"/>
      <c r="P289" s="60" t="n"/>
      <c r="Q289" s="60" t="n"/>
      <c r="R289" s="60" t="n"/>
      <c r="S289" s="60" t="n"/>
      <c r="T289" s="60" t="n"/>
      <c r="U289" s="60" t="n"/>
      <c r="V289" s="60" t="n"/>
      <c r="W289" s="60" t="n"/>
      <c r="X289" s="62" t="n"/>
      <c r="Y289" s="63">
        <f>IF($A289="","",IF(OR($W289&lt;&gt;"Yes",$X289="",TODAY()-$X289&gt;90),"At Risk","Not At Risk"))</f>
        <v/>
      </c>
      <c r="Z289" s="61" t="n"/>
    </row>
    <row r="290" ht="15" customHeight="1" s="39">
      <c r="A290" s="60" t="n"/>
      <c r="B290" s="60" t="n"/>
      <c r="C290" s="60" t="n"/>
      <c r="D290" s="60" t="n"/>
      <c r="E290" s="60" t="n"/>
      <c r="F290" s="61" t="n"/>
      <c r="G290" s="60" t="n"/>
      <c r="H290" s="60" t="n"/>
      <c r="I290" s="60" t="n"/>
      <c r="J290" s="61" t="n"/>
      <c r="K290" s="60" t="n"/>
      <c r="L290" s="60" t="n"/>
      <c r="M290" s="60" t="n"/>
      <c r="N290" s="60" t="n"/>
      <c r="O290" s="61" t="n"/>
      <c r="P290" s="60" t="n"/>
      <c r="Q290" s="60" t="n"/>
      <c r="R290" s="60" t="n"/>
      <c r="S290" s="60" t="n"/>
      <c r="T290" s="60" t="n"/>
      <c r="U290" s="60" t="n"/>
      <c r="V290" s="60" t="n"/>
      <c r="W290" s="60" t="n"/>
      <c r="X290" s="62" t="n"/>
      <c r="Y290" s="63">
        <f>IF($A290="","",IF(OR($W290&lt;&gt;"Yes",$X290="",TODAY()-$X290&gt;90),"At Risk","Not At Risk"))</f>
        <v/>
      </c>
      <c r="Z290" s="61" t="n"/>
    </row>
    <row r="291" ht="15" customHeight="1" s="39">
      <c r="A291" s="60" t="n"/>
      <c r="B291" s="60" t="n"/>
      <c r="C291" s="60" t="n"/>
      <c r="D291" s="60" t="n"/>
      <c r="E291" s="60" t="n"/>
      <c r="F291" s="61" t="n"/>
      <c r="G291" s="60" t="n"/>
      <c r="H291" s="60" t="n"/>
      <c r="I291" s="60" t="n"/>
      <c r="J291" s="61" t="n"/>
      <c r="K291" s="60" t="n"/>
      <c r="L291" s="60" t="n"/>
      <c r="M291" s="60" t="n"/>
      <c r="N291" s="60" t="n"/>
      <c r="O291" s="61" t="n"/>
      <c r="P291" s="60" t="n"/>
      <c r="Q291" s="60" t="n"/>
      <c r="R291" s="60" t="n"/>
      <c r="S291" s="60" t="n"/>
      <c r="T291" s="60" t="n"/>
      <c r="U291" s="60" t="n"/>
      <c r="V291" s="60" t="n"/>
      <c r="W291" s="60" t="n"/>
      <c r="X291" s="62" t="n"/>
      <c r="Y291" s="63">
        <f>IF($A291="","",IF(OR($W291&lt;&gt;"Yes",$X291="",TODAY()-$X291&gt;90),"At Risk","Not At Risk"))</f>
        <v/>
      </c>
      <c r="Z291" s="61" t="n"/>
    </row>
    <row r="292" ht="15" customHeight="1" s="39">
      <c r="A292" s="60" t="n"/>
      <c r="B292" s="60" t="n"/>
      <c r="C292" s="60" t="n"/>
      <c r="D292" s="60" t="n"/>
      <c r="E292" s="60" t="n"/>
      <c r="F292" s="61" t="n"/>
      <c r="G292" s="60" t="n"/>
      <c r="H292" s="60" t="n"/>
      <c r="I292" s="60" t="n"/>
      <c r="J292" s="61" t="n"/>
      <c r="K292" s="60" t="n"/>
      <c r="L292" s="60" t="n"/>
      <c r="M292" s="60" t="n"/>
      <c r="N292" s="60" t="n"/>
      <c r="O292" s="61" t="n"/>
      <c r="P292" s="60" t="n"/>
      <c r="Q292" s="60" t="n"/>
      <c r="R292" s="60" t="n"/>
      <c r="S292" s="60" t="n"/>
      <c r="T292" s="60" t="n"/>
      <c r="U292" s="60" t="n"/>
      <c r="V292" s="60" t="n"/>
      <c r="W292" s="60" t="n"/>
      <c r="X292" s="62" t="n"/>
      <c r="Y292" s="63">
        <f>IF($A292="","",IF(OR($W292&lt;&gt;"Yes",$X292="",TODAY()-$X292&gt;90),"At Risk","Not At Risk"))</f>
        <v/>
      </c>
      <c r="Z292" s="61" t="n"/>
    </row>
    <row r="293" ht="15" customHeight="1" s="39">
      <c r="A293" s="60" t="n"/>
      <c r="B293" s="60" t="n"/>
      <c r="C293" s="60" t="n"/>
      <c r="D293" s="60" t="n"/>
      <c r="E293" s="60" t="n"/>
      <c r="F293" s="61" t="n"/>
      <c r="G293" s="60" t="n"/>
      <c r="H293" s="60" t="n"/>
      <c r="I293" s="60" t="n"/>
      <c r="J293" s="61" t="n"/>
      <c r="K293" s="60" t="n"/>
      <c r="L293" s="60" t="n"/>
      <c r="M293" s="60" t="n"/>
      <c r="N293" s="60" t="n"/>
      <c r="O293" s="61" t="n"/>
      <c r="P293" s="60" t="n"/>
      <c r="Q293" s="60" t="n"/>
      <c r="R293" s="60" t="n"/>
      <c r="S293" s="60" t="n"/>
      <c r="T293" s="60" t="n"/>
      <c r="U293" s="60" t="n"/>
      <c r="V293" s="60" t="n"/>
      <c r="W293" s="60" t="n"/>
      <c r="X293" s="62" t="n"/>
      <c r="Y293" s="63">
        <f>IF($A293="","",IF(OR($W293&lt;&gt;"Yes",$X293="",TODAY()-$X293&gt;90),"At Risk","Not At Risk"))</f>
        <v/>
      </c>
      <c r="Z293" s="61" t="n"/>
    </row>
    <row r="294" ht="15" customHeight="1" s="39">
      <c r="A294" s="60" t="n"/>
      <c r="B294" s="60" t="n"/>
      <c r="C294" s="60" t="n"/>
      <c r="D294" s="60" t="n"/>
      <c r="E294" s="60" t="n"/>
      <c r="F294" s="61" t="n"/>
      <c r="G294" s="60" t="n"/>
      <c r="H294" s="60" t="n"/>
      <c r="I294" s="60" t="n"/>
      <c r="J294" s="61" t="n"/>
      <c r="K294" s="60" t="n"/>
      <c r="L294" s="60" t="n"/>
      <c r="M294" s="60" t="n"/>
      <c r="N294" s="60" t="n"/>
      <c r="O294" s="61" t="n"/>
      <c r="P294" s="60" t="n"/>
      <c r="Q294" s="60" t="n"/>
      <c r="R294" s="60" t="n"/>
      <c r="S294" s="60" t="n"/>
      <c r="T294" s="60" t="n"/>
      <c r="U294" s="60" t="n"/>
      <c r="V294" s="60" t="n"/>
      <c r="W294" s="60" t="n"/>
      <c r="X294" s="62" t="n"/>
      <c r="Y294" s="63">
        <f>IF($A294="","",IF(OR($W294&lt;&gt;"Yes",$X294="",TODAY()-$X294&gt;90),"At Risk","Not At Risk"))</f>
        <v/>
      </c>
      <c r="Z294" s="61" t="n"/>
    </row>
    <row r="295" ht="15" customHeight="1" s="39">
      <c r="A295" s="60" t="n"/>
      <c r="B295" s="60" t="n"/>
      <c r="C295" s="60" t="n"/>
      <c r="D295" s="60" t="n"/>
      <c r="E295" s="60" t="n"/>
      <c r="F295" s="61" t="n"/>
      <c r="G295" s="60" t="n"/>
      <c r="H295" s="60" t="n"/>
      <c r="I295" s="60" t="n"/>
      <c r="J295" s="61" t="n"/>
      <c r="K295" s="60" t="n"/>
      <c r="L295" s="60" t="n"/>
      <c r="M295" s="60" t="n"/>
      <c r="N295" s="60" t="n"/>
      <c r="O295" s="61" t="n"/>
      <c r="P295" s="60" t="n"/>
      <c r="Q295" s="60" t="n"/>
      <c r="R295" s="60" t="n"/>
      <c r="S295" s="60" t="n"/>
      <c r="T295" s="60" t="n"/>
      <c r="U295" s="60" t="n"/>
      <c r="V295" s="60" t="n"/>
      <c r="W295" s="60" t="n"/>
      <c r="X295" s="62" t="n"/>
      <c r="Y295" s="63">
        <f>IF($A295="","",IF(OR($W295&lt;&gt;"Yes",$X295="",TODAY()-$X295&gt;90),"At Risk","Not At Risk"))</f>
        <v/>
      </c>
      <c r="Z295" s="61" t="n"/>
    </row>
    <row r="296" ht="15" customHeight="1" s="39">
      <c r="A296" s="60" t="n"/>
      <c r="B296" s="60" t="n"/>
      <c r="C296" s="60" t="n"/>
      <c r="D296" s="60" t="n"/>
      <c r="E296" s="60" t="n"/>
      <c r="F296" s="61" t="n"/>
      <c r="G296" s="60" t="n"/>
      <c r="H296" s="60" t="n"/>
      <c r="I296" s="60" t="n"/>
      <c r="J296" s="61" t="n"/>
      <c r="K296" s="60" t="n"/>
      <c r="L296" s="60" t="n"/>
      <c r="M296" s="60" t="n"/>
      <c r="N296" s="60" t="n"/>
      <c r="O296" s="61" t="n"/>
      <c r="P296" s="60" t="n"/>
      <c r="Q296" s="60" t="n"/>
      <c r="R296" s="60" t="n"/>
      <c r="S296" s="60" t="n"/>
      <c r="T296" s="60" t="n"/>
      <c r="U296" s="60" t="n"/>
      <c r="V296" s="60" t="n"/>
      <c r="W296" s="60" t="n"/>
      <c r="X296" s="62" t="n"/>
      <c r="Y296" s="63">
        <f>IF($A296="","",IF(OR($W296&lt;&gt;"Yes",$X296="",TODAY()-$X296&gt;90),"At Risk","Not At Risk"))</f>
        <v/>
      </c>
      <c r="Z296" s="61" t="n"/>
    </row>
    <row r="297" ht="15" customHeight="1" s="39">
      <c r="A297" s="60" t="n"/>
      <c r="B297" s="60" t="n"/>
      <c r="C297" s="60" t="n"/>
      <c r="D297" s="60" t="n"/>
      <c r="E297" s="60" t="n"/>
      <c r="F297" s="61" t="n"/>
      <c r="G297" s="60" t="n"/>
      <c r="H297" s="60" t="n"/>
      <c r="I297" s="60" t="n"/>
      <c r="J297" s="61" t="n"/>
      <c r="K297" s="60" t="n"/>
      <c r="L297" s="60" t="n"/>
      <c r="M297" s="60" t="n"/>
      <c r="N297" s="60" t="n"/>
      <c r="O297" s="61" t="n"/>
      <c r="P297" s="60" t="n"/>
      <c r="Q297" s="60" t="n"/>
      <c r="R297" s="60" t="n"/>
      <c r="S297" s="60" t="n"/>
      <c r="T297" s="60" t="n"/>
      <c r="U297" s="60" t="n"/>
      <c r="V297" s="60" t="n"/>
      <c r="W297" s="60" t="n"/>
      <c r="X297" s="62" t="n"/>
      <c r="Y297" s="63">
        <f>IF($A297="","",IF(OR($W297&lt;&gt;"Yes",$X297="",TODAY()-$X297&gt;90),"At Risk","Not At Risk"))</f>
        <v/>
      </c>
      <c r="Z297" s="61" t="n"/>
    </row>
    <row r="298" ht="15" customHeight="1" s="39">
      <c r="A298" s="60" t="n"/>
      <c r="B298" s="60" t="n"/>
      <c r="C298" s="60" t="n"/>
      <c r="D298" s="60" t="n"/>
      <c r="E298" s="60" t="n"/>
      <c r="F298" s="61" t="n"/>
      <c r="G298" s="60" t="n"/>
      <c r="H298" s="60" t="n"/>
      <c r="I298" s="60" t="n"/>
      <c r="J298" s="61" t="n"/>
      <c r="K298" s="60" t="n"/>
      <c r="L298" s="60" t="n"/>
      <c r="M298" s="60" t="n"/>
      <c r="N298" s="60" t="n"/>
      <c r="O298" s="61" t="n"/>
      <c r="P298" s="60" t="n"/>
      <c r="Q298" s="60" t="n"/>
      <c r="R298" s="60" t="n"/>
      <c r="S298" s="60" t="n"/>
      <c r="T298" s="60" t="n"/>
      <c r="U298" s="60" t="n"/>
      <c r="V298" s="60" t="n"/>
      <c r="W298" s="60" t="n"/>
      <c r="X298" s="62" t="n"/>
      <c r="Y298" s="63">
        <f>IF($A298="","",IF(OR($W298&lt;&gt;"Yes",$X298="",TODAY()-$X298&gt;90),"At Risk","Not At Risk"))</f>
        <v/>
      </c>
      <c r="Z298" s="61" t="n"/>
    </row>
    <row r="299" ht="15" customHeight="1" s="39">
      <c r="A299" s="60" t="n"/>
      <c r="B299" s="60" t="n"/>
      <c r="C299" s="60" t="n"/>
      <c r="D299" s="60" t="n"/>
      <c r="E299" s="60" t="n"/>
      <c r="F299" s="61" t="n"/>
      <c r="G299" s="60" t="n"/>
      <c r="H299" s="60" t="n"/>
      <c r="I299" s="60" t="n"/>
      <c r="J299" s="61" t="n"/>
      <c r="K299" s="60" t="n"/>
      <c r="L299" s="60" t="n"/>
      <c r="M299" s="60" t="n"/>
      <c r="N299" s="60" t="n"/>
      <c r="O299" s="61" t="n"/>
      <c r="P299" s="60" t="n"/>
      <c r="Q299" s="60" t="n"/>
      <c r="R299" s="60" t="n"/>
      <c r="S299" s="60" t="n"/>
      <c r="T299" s="60" t="n"/>
      <c r="U299" s="60" t="n"/>
      <c r="V299" s="60" t="n"/>
      <c r="W299" s="60" t="n"/>
      <c r="X299" s="62" t="n"/>
      <c r="Y299" s="63">
        <f>IF($A299="","",IF(OR($W299&lt;&gt;"Yes",$X299="",TODAY()-$X299&gt;90),"At Risk","Not At Risk"))</f>
        <v/>
      </c>
      <c r="Z299" s="61" t="n"/>
    </row>
    <row r="300" ht="15" customHeight="1" s="39">
      <c r="A300" s="60" t="n"/>
      <c r="B300" s="60" t="n"/>
      <c r="C300" s="60" t="n"/>
      <c r="D300" s="60" t="n"/>
      <c r="E300" s="60" t="n"/>
      <c r="F300" s="61" t="n"/>
      <c r="G300" s="60" t="n"/>
      <c r="H300" s="60" t="n"/>
      <c r="I300" s="60" t="n"/>
      <c r="J300" s="61" t="n"/>
      <c r="K300" s="60" t="n"/>
      <c r="L300" s="60" t="n"/>
      <c r="M300" s="60" t="n"/>
      <c r="N300" s="60" t="n"/>
      <c r="O300" s="61" t="n"/>
      <c r="P300" s="60" t="n"/>
      <c r="Q300" s="60" t="n"/>
      <c r="R300" s="60" t="n"/>
      <c r="S300" s="60" t="n"/>
      <c r="T300" s="60" t="n"/>
      <c r="U300" s="60" t="n"/>
      <c r="V300" s="60" t="n"/>
      <c r="W300" s="60" t="n"/>
      <c r="X300" s="62" t="n"/>
      <c r="Y300" s="63">
        <f>IF($A300="","",IF(OR($W300&lt;&gt;"Yes",$X300="",TODAY()-$X300&gt;90),"At Risk","Not At Risk"))</f>
        <v/>
      </c>
      <c r="Z300" s="61" t="n"/>
    </row>
    <row r="301" ht="15" customHeight="1" s="39">
      <c r="A301" s="60" t="n"/>
      <c r="B301" s="60" t="n"/>
      <c r="C301" s="60" t="n"/>
      <c r="D301" s="60" t="n"/>
      <c r="E301" s="60" t="n"/>
      <c r="F301" s="61" t="n"/>
      <c r="G301" s="60" t="n"/>
      <c r="H301" s="60" t="n"/>
      <c r="I301" s="60" t="n"/>
      <c r="J301" s="61" t="n"/>
      <c r="K301" s="60" t="n"/>
      <c r="L301" s="60" t="n"/>
      <c r="M301" s="60" t="n"/>
      <c r="N301" s="60" t="n"/>
      <c r="O301" s="61" t="n"/>
      <c r="P301" s="60" t="n"/>
      <c r="Q301" s="60" t="n"/>
      <c r="R301" s="60" t="n"/>
      <c r="S301" s="60" t="n"/>
      <c r="T301" s="60" t="n"/>
      <c r="U301" s="60" t="n"/>
      <c r="V301" s="60" t="n"/>
      <c r="W301" s="60" t="n"/>
      <c r="X301" s="62" t="n"/>
      <c r="Y301" s="63">
        <f>IF($A301="","",IF(OR($W301&lt;&gt;"Yes",$X301="",TODAY()-$X301&gt;90),"At Risk","Not At Risk"))</f>
        <v/>
      </c>
      <c r="Z301" s="61" t="n"/>
    </row>
  </sheetData>
  <autoFilter ref="A1:Z301"/>
  <conditionalFormatting sqref="S2:S301">
    <cfRule type="expression" rank="0" priority="2" equalAverage="0" aboveAverage="0" dxfId="9" text="" percent="0" bottom="0">
      <formula>S2=0</formula>
    </cfRule>
    <cfRule type="expression" rank="0" priority="3" equalAverage="0" aboveAverage="0" dxfId="10" text="" percent="0" bottom="0">
      <formula>S2=1</formula>
    </cfRule>
  </conditionalFormatting>
  <conditionalFormatting sqref="T2:T301">
    <cfRule type="expression" rank="0" priority="4" equalAverage="0" aboveAverage="0" dxfId="9" text="" percent="0" bottom="0">
      <formula>T2="YES"</formula>
    </cfRule>
  </conditionalFormatting>
  <conditionalFormatting sqref="R2:R301">
    <cfRule type="expression" rank="0" priority="5" equalAverage="0" aboveAverage="0" dxfId="9" text="" percent="0" bottom="0">
      <formula>R2="YES"</formula>
    </cfRule>
  </conditionalFormatting>
  <conditionalFormatting sqref="Y2:Y301">
    <cfRule type="expression" rank="0" priority="6" equalAverage="0" aboveAverage="0" dxfId="9" text="" percent="0" bottom="0">
      <formula>Y2="At Risk"</formula>
    </cfRule>
    <cfRule type="expression" rank="0" priority="7" equalAverage="0" aboveAverage="0" dxfId="11" text="" percent="0" bottom="0">
      <formula>Y2="Not At Risk"</formula>
    </cfRule>
  </conditionalFormatting>
  <dataValidations count="1">
    <dataValidation sqref="W2:W301" showDropDown="0" showInputMessage="0" showErrorMessage="0" allowBlank="1" type="list" errorStyle="warning" operator="between">
      <formula1>Reference!$A$2:$A$5</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tabColor rgb="FF1F4E79"/>
    <outlinePr summaryBelow="1" summaryRight="1"/>
    <pageSetUpPr fitToPage="0"/>
  </sheetPr>
  <dimension ref="A1:AR30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34" customWidth="1" style="38" min="1" max="1"/>
    <col width="26" customWidth="1" style="38" min="2" max="2"/>
    <col width="36" customWidth="1" style="38" min="3" max="3"/>
    <col width="18" customWidth="1" style="38" min="4" max="4"/>
    <col width="11" customWidth="1" style="38" min="5" max="5"/>
    <col width="13" customWidth="1" style="38" min="6" max="7"/>
    <col width="14" customWidth="1" style="38" min="8" max="8"/>
    <col width="15" customWidth="1" style="38" min="9" max="9"/>
    <col width="30" customWidth="1" style="38" min="10" max="10"/>
    <col width="34" customWidth="1" style="38" min="11" max="12"/>
    <col width="13" customWidth="1" style="38" min="13" max="14"/>
    <col width="24" customWidth="1" style="38" min="15" max="15"/>
    <col width="36" customWidth="1" style="38" min="16" max="16"/>
    <col width="22" customWidth="1" style="38" min="17" max="17"/>
    <col width="14" customWidth="1" style="38" min="18" max="18"/>
    <col width="15" customWidth="1" style="38" min="19" max="19"/>
    <col width="34" customWidth="1" style="38" min="20" max="20"/>
    <col width="38" customWidth="1" style="38" min="21" max="21"/>
    <col width="13" customWidth="1" style="38" min="22" max="23"/>
    <col width="26" customWidth="1" style="38" min="24" max="24"/>
    <col width="11" customWidth="1" style="38" min="25" max="25"/>
    <col width="30" customWidth="1" style="38" min="26" max="26"/>
    <col width="15" customWidth="1" style="38" min="27" max="27"/>
    <col width="24" customWidth="1" style="38" min="28" max="28"/>
    <col width="22" customWidth="1" style="38" min="29" max="29"/>
    <col width="24" customWidth="1" style="38" min="30" max="30"/>
    <col width="14" customWidth="1" style="38" min="31" max="31"/>
    <col width="15" customWidth="1" style="38" min="32" max="32"/>
    <col width="13" customWidth="1" style="38" min="33" max="33"/>
    <col width="34" customWidth="1" style="38" min="34" max="34"/>
    <col width="22" customWidth="1" style="38" min="35" max="35"/>
    <col width="40" customWidth="1" style="38" min="36" max="36"/>
    <col width="20" customWidth="1" style="38" min="37" max="37"/>
    <col width="14" customWidth="1" style="38" min="38" max="40"/>
    <col width="26" customWidth="1" style="38" min="41" max="41"/>
    <col width="38" customWidth="1" style="38" min="42" max="42"/>
    <col width="16" customWidth="1" style="38" min="43" max="43"/>
    <col width="15" customWidth="1" style="38" min="44" max="44"/>
  </cols>
  <sheetData>
    <row r="1" ht="49.5" customHeight="1" s="39">
      <c r="A1" s="64" t="inlineStr">
        <is>
          <t>Admin UPN</t>
        </is>
      </c>
      <c r="B1" s="64" t="inlineStr">
        <is>
          <t>Display Name</t>
        </is>
      </c>
      <c r="C1" s="64" t="inlineStr">
        <is>
          <t>Object ID</t>
        </is>
      </c>
      <c r="D1" s="64" t="inlineStr">
        <is>
          <t>Base Username</t>
        </is>
      </c>
      <c r="E1" s="64" t="inlineStr">
        <is>
          <t>Enabled</t>
        </is>
      </c>
      <c r="F1" s="64" t="inlineStr">
        <is>
          <t>Created</t>
        </is>
      </c>
      <c r="G1" s="64" t="inlineStr">
        <is>
          <t>Last Sign-In</t>
        </is>
      </c>
      <c r="H1" s="64" t="inlineStr">
        <is>
          <t>MFA Registered</t>
        </is>
      </c>
      <c r="I1" s="64" t="inlineStr">
        <is>
          <t>Phishing Resistant</t>
        </is>
      </c>
      <c r="J1" s="64" t="inlineStr">
        <is>
          <t>Auth Methods</t>
        </is>
      </c>
      <c r="K1" s="64" t="inlineStr">
        <is>
          <t>Entra Roles (Active)</t>
        </is>
      </c>
      <c r="L1" s="64" t="inlineStr">
        <is>
          <t>Entra Roles (Eligible)</t>
        </is>
      </c>
      <c r="M1" s="64" t="inlineStr">
        <is>
          <t>Active Role Count</t>
        </is>
      </c>
      <c r="N1" s="64" t="inlineStr">
        <is>
          <t>Eligible Role Count</t>
        </is>
      </c>
      <c r="O1" s="64" t="inlineStr">
        <is>
          <t>Highest Entra Role</t>
        </is>
      </c>
      <c r="P1" s="64" t="inlineStr">
        <is>
          <t>Azure RBAC Roles</t>
        </is>
      </c>
      <c r="Q1" s="64" t="inlineStr">
        <is>
          <t>Highest Azure Role</t>
        </is>
      </c>
      <c r="R1" s="64" t="inlineStr">
        <is>
          <t>Sub or MG Scoped</t>
        </is>
      </c>
      <c r="S1" s="64" t="inlineStr">
        <is>
          <t>Assignment Route</t>
        </is>
      </c>
      <c r="T1" s="64" t="inlineStr">
        <is>
          <t>Granting Groups</t>
        </is>
      </c>
      <c r="U1" s="64" t="inlineStr">
        <is>
          <t>Granting Group IDs</t>
        </is>
      </c>
      <c r="V1" s="64" t="inlineStr">
        <is>
          <t>Direct Assignments</t>
        </is>
      </c>
      <c r="W1" s="64" t="inlineStr">
        <is>
          <t>Group Assignments</t>
        </is>
      </c>
      <c r="X1" s="64" t="inlineStr">
        <is>
          <t>Directory Scopes</t>
        </is>
      </c>
      <c r="Y1" s="64" t="inlineStr">
        <is>
          <t>Overall Tier</t>
        </is>
      </c>
      <c r="Z1" s="64" t="inlineStr">
        <is>
          <t>Standard Account UPN</t>
        </is>
      </c>
      <c r="AA1" s="64" t="inlineStr">
        <is>
          <t>Standard Acct Enabled</t>
        </is>
      </c>
      <c r="AB1" s="64" t="inlineStr">
        <is>
          <t>Person Display Name</t>
        </is>
      </c>
      <c r="AC1" s="64" t="inlineStr">
        <is>
          <t>Department</t>
        </is>
      </c>
      <c r="AD1" s="64" t="inlineStr">
        <is>
          <t>Job Title</t>
        </is>
      </c>
      <c r="AE1" s="55" t="inlineStr">
        <is>
          <t>Days Since Sign-In</t>
        </is>
      </c>
      <c r="AF1" s="55" t="inlineStr">
        <is>
          <t>Standing Privilege?</t>
        </is>
      </c>
      <c r="AG1" s="55" t="inlineStr">
        <is>
          <t>ORPHANED?</t>
        </is>
      </c>
      <c r="AH1" s="55" t="inlineStr">
        <is>
          <t>Risk Flags</t>
        </is>
      </c>
      <c r="AI1" s="54" t="inlineStr">
        <is>
          <t>Access Type</t>
        </is>
      </c>
      <c r="AJ1" s="54" t="inlineStr">
        <is>
          <t>Business Justification</t>
        </is>
      </c>
      <c r="AK1" s="54" t="inlineStr">
        <is>
          <t>Decided By</t>
        </is>
      </c>
      <c r="AL1" s="54" t="inlineStr">
        <is>
          <t>Review Decision Date</t>
        </is>
      </c>
      <c r="AM1" s="54" t="inlineStr">
        <is>
          <t>Next Review Due</t>
        </is>
      </c>
      <c r="AN1" s="54" t="inlineStr">
        <is>
          <t>Last Reviewed</t>
        </is>
      </c>
      <c r="AO1" s="54" t="inlineStr">
        <is>
          <t>Review Decision</t>
        </is>
      </c>
      <c r="AP1" s="54" t="inlineStr">
        <is>
          <t>Notes</t>
        </is>
      </c>
      <c r="AQ1" s="55" t="inlineStr">
        <is>
          <t>Access Status</t>
        </is>
      </c>
      <c r="AR1" s="55" t="inlineStr">
        <is>
          <t>Review Status</t>
        </is>
      </c>
    </row>
    <row r="2" ht="35.05" customHeight="1" s="39">
      <c r="A2" s="57" t="inlineStr">
        <is>
          <t>jsmith.azr@corp.onmicrosoft.com</t>
        </is>
      </c>
      <c r="B2" s="56" t="inlineStr">
        <is>
          <t>Jane Smith (Cloud Admin)</t>
        </is>
      </c>
      <c r="C2" s="57" t="inlineStr">
        <is>
          <t>4c8e1f2a-9b3d-4e6f-a1c5-7d2e8f3a9b4c</t>
        </is>
      </c>
      <c r="D2" s="56" t="inlineStr">
        <is>
          <t>jsmith</t>
        </is>
      </c>
      <c r="E2" s="56" t="inlineStr">
        <is>
          <t>Yes</t>
        </is>
      </c>
      <c r="F2" s="58" t="n">
        <v>45173</v>
      </c>
      <c r="G2" s="58" t="n">
        <v>46246</v>
      </c>
      <c r="H2" s="56" t="inlineStr">
        <is>
          <t>Yes</t>
        </is>
      </c>
      <c r="I2" s="56" t="inlineStr">
        <is>
          <t>No</t>
        </is>
      </c>
      <c r="J2" s="57" t="inlineStr">
        <is>
          <t>microsoftAuthenticatorPush; sms</t>
        </is>
      </c>
      <c r="K2" s="57" t="inlineStr">
        <is>
          <t>Global Administrator</t>
        </is>
      </c>
      <c r="L2" s="57" t="inlineStr">
        <is>
          <t>Security Administrator</t>
        </is>
      </c>
      <c r="M2" s="56" t="n">
        <v>1</v>
      </c>
      <c r="N2" s="56" t="n">
        <v>1</v>
      </c>
      <c r="O2" s="56" t="inlineStr">
        <is>
          <t>Global Administrator</t>
        </is>
      </c>
      <c r="P2" s="57" t="inlineStr">
        <is>
          <t>Owner @ SUBSCRIPTION:prod-platform</t>
        </is>
      </c>
      <c r="Q2" s="56" t="inlineStr">
        <is>
          <t>Owner</t>
        </is>
      </c>
      <c r="R2" s="56" t="inlineStr">
        <is>
          <t>Yes</t>
        </is>
      </c>
      <c r="S2" s="56" t="inlineStr">
        <is>
          <t>Direct + Group</t>
        </is>
      </c>
      <c r="T2" s="57" t="inlineStr">
        <is>
          <t>SG-Azure-Platform-Owners</t>
        </is>
      </c>
      <c r="U2" s="57" t="inlineStr">
        <is>
          <t>7e1d4b92-3a6c-4f8e-b1d5-2c9a8f4e6b3d</t>
        </is>
      </c>
      <c r="V2" s="56" t="n">
        <v>1</v>
      </c>
      <c r="W2" s="56" t="n">
        <v>2</v>
      </c>
      <c r="X2" s="56" t="inlineStr">
        <is>
          <t>Tenant-wide</t>
        </is>
      </c>
      <c r="Y2" s="56" t="n">
        <v>0</v>
      </c>
      <c r="Z2" s="57" t="inlineStr">
        <is>
          <t>jsmith@corp.com.au</t>
        </is>
      </c>
      <c r="AA2" s="56" t="inlineStr">
        <is>
          <t>Yes</t>
        </is>
      </c>
      <c r="AB2" s="56" t="inlineStr">
        <is>
          <t>Jane Smith</t>
        </is>
      </c>
      <c r="AC2" s="56" t="inlineStr">
        <is>
          <t>Cloud Platform Engineering</t>
        </is>
      </c>
      <c r="AD2" s="56" t="inlineStr">
        <is>
          <t>Principal Engineer</t>
        </is>
      </c>
      <c r="AE2" s="59">
        <f>IF($G2="","",TODAY()-$G2)</f>
        <v/>
      </c>
      <c r="AF2" s="59">
        <f>IF($A2="","",IF($M2&gt;0,"Yes","No"))</f>
        <v/>
      </c>
      <c r="AG2" s="59">
        <f>IF($A2="","",IF(AND($E2="Yes",OR($AA2="No",$AA2="NOT FOUND")),"YES",""))</f>
        <v/>
      </c>
      <c r="AH2" s="65">
        <f>IF($A2="","",TRIM(IF(AND($Y2=0,$I2&lt;&gt;"Yes"),"T0-NoPhishResistant ","")&amp;IF($H2="No","NoMFA ","")&amp;IF(AND($Y2=0,$M2&gt;0),"T0-Standing ","")&amp;IF(AND($Y2=0,$S2="Group only"),"T0-ViaGroupOnly ","")&amp;IF($R2="Yes","BroadAzureScope ","")&amp;IF(AND($E2="Yes",$G2=""),"NeverSignedIn ","")))</f>
        <v/>
      </c>
      <c r="AI2" s="56" t="inlineStr">
        <is>
          <t>Permanent (BAU duty)</t>
        </is>
      </c>
      <c r="AJ2" s="57" t="inlineStr">
        <is>
          <t>Tenant administration and break-glass escalation for the platform team.</t>
        </is>
      </c>
      <c r="AK2" s="56" t="inlineStr">
        <is>
          <t>CISO</t>
        </is>
      </c>
      <c r="AL2" s="58" t="n">
        <v>46083</v>
      </c>
      <c r="AM2" s="58" t="n"/>
      <c r="AN2" s="58" t="n">
        <v>46152</v>
      </c>
      <c r="AO2" s="56" t="inlineStr">
        <is>
          <t>Convert to PIM eligible</t>
        </is>
      </c>
      <c r="AP2" s="57" t="inlineStr">
        <is>
          <t>EXAMPLE ROW - delete before use. Standing Global Admin plus subscription Owner; no phishing-resistant method.</t>
        </is>
      </c>
      <c r="AQ2" s="59">
        <f>IF($A2="","",IF(AM2="","Not Enrolled",IF(TODAY()&gt;AM2,"Review Overdue",IF(AM2-TODAY()&lt;=30,"Review Due Soon","Active"))))</f>
        <v/>
      </c>
      <c r="AR2" s="59">
        <f>IF($A2="","",IF(AN2="","NOT REVIEWED",IF(TODAY()-AN2&gt;90,"OVERDUE",IF(TODAY()-AN2&gt;76,"Due Soon","Current"))))</f>
        <v/>
      </c>
    </row>
    <row r="3" ht="15" customHeight="1" s="39">
      <c r="A3" s="61" t="n"/>
      <c r="B3" s="60" t="n"/>
      <c r="C3" s="61" t="n"/>
      <c r="D3" s="60" t="n"/>
      <c r="E3" s="60" t="n"/>
      <c r="F3" s="62" t="n"/>
      <c r="G3" s="62" t="n"/>
      <c r="H3" s="60" t="n"/>
      <c r="I3" s="60" t="n"/>
      <c r="J3" s="61" t="n"/>
      <c r="K3" s="61" t="n"/>
      <c r="L3" s="61" t="n"/>
      <c r="M3" s="60" t="n"/>
      <c r="N3" s="60" t="n"/>
      <c r="O3" s="60" t="n"/>
      <c r="P3" s="61" t="n"/>
      <c r="Q3" s="60" t="n"/>
      <c r="R3" s="60" t="n"/>
      <c r="S3" s="60" t="n"/>
      <c r="T3" s="61" t="n"/>
      <c r="U3" s="61" t="n"/>
      <c r="V3" s="60" t="n"/>
      <c r="W3" s="60" t="n"/>
      <c r="X3" s="60" t="n"/>
      <c r="Y3" s="60" t="n"/>
      <c r="Z3" s="61" t="n"/>
      <c r="AA3" s="60" t="n"/>
      <c r="AB3" s="60" t="n"/>
      <c r="AC3" s="60" t="n"/>
      <c r="AD3" s="60" t="n"/>
      <c r="AE3" s="63">
        <f>IF($G3="","",TODAY()-$G3)</f>
        <v/>
      </c>
      <c r="AF3" s="63">
        <f>IF($A3="","",IF($M3&gt;0,"Yes","No"))</f>
        <v/>
      </c>
      <c r="AG3" s="63">
        <f>IF($A3="","",IF(AND($E3="Yes",OR($AA3="No",$AA3="NOT FOUND")),"YES",""))</f>
        <v/>
      </c>
      <c r="AH3" s="66">
        <f>IF($A3="","",TRIM(IF(AND($Y3=0,$I3&lt;&gt;"Yes"),"T0-NoPhishResistant ","")&amp;IF($H3="No","NoMFA ","")&amp;IF(AND($Y3=0,$M3&gt;0),"T0-Standing ","")&amp;IF(AND($Y3=0,$S3="Group only"),"T0-ViaGroupOnly ","")&amp;IF($R3="Yes","BroadAzureScope ","")&amp;IF(AND($E3="Yes",$G3=""),"NeverSignedIn ","")))</f>
        <v/>
      </c>
      <c r="AI3" s="60" t="n"/>
      <c r="AJ3" s="61" t="n"/>
      <c r="AK3" s="60" t="n"/>
      <c r="AL3" s="62" t="n"/>
      <c r="AM3" s="62" t="n"/>
      <c r="AN3" s="62" t="n"/>
      <c r="AO3" s="60" t="n"/>
      <c r="AP3" s="61" t="n"/>
      <c r="AQ3" s="63">
        <f>IF($A3="","",IF(AM3="","Not Enrolled",IF(TODAY()&gt;AM3,"Review Overdue",IF(AM3-TODAY()&lt;=30,"Review Due Soon","Active"))))</f>
        <v/>
      </c>
      <c r="AR3" s="63">
        <f>IF($A3="","",IF(AN3="","NOT REVIEWED",IF(TODAY()-AN3&gt;90,"OVERDUE",IF(TODAY()-AN3&gt;76,"Due Soon","Current"))))</f>
        <v/>
      </c>
    </row>
    <row r="4" ht="15" customHeight="1" s="39">
      <c r="A4" s="61" t="n"/>
      <c r="B4" s="60" t="n"/>
      <c r="C4" s="61" t="n"/>
      <c r="D4" s="60" t="n"/>
      <c r="E4" s="60" t="n"/>
      <c r="F4" s="62" t="n"/>
      <c r="G4" s="62" t="n"/>
      <c r="H4" s="60" t="n"/>
      <c r="I4" s="60" t="n"/>
      <c r="J4" s="61" t="n"/>
      <c r="K4" s="61" t="n"/>
      <c r="L4" s="61" t="n"/>
      <c r="M4" s="60" t="n"/>
      <c r="N4" s="60" t="n"/>
      <c r="O4" s="60" t="n"/>
      <c r="P4" s="61" t="n"/>
      <c r="Q4" s="60" t="n"/>
      <c r="R4" s="60" t="n"/>
      <c r="S4" s="60" t="n"/>
      <c r="T4" s="61" t="n"/>
      <c r="U4" s="61" t="n"/>
      <c r="V4" s="60" t="n"/>
      <c r="W4" s="60" t="n"/>
      <c r="X4" s="60" t="n"/>
      <c r="Y4" s="60" t="n"/>
      <c r="Z4" s="61" t="n"/>
      <c r="AA4" s="60" t="n"/>
      <c r="AB4" s="60" t="n"/>
      <c r="AC4" s="60" t="n"/>
      <c r="AD4" s="60" t="n"/>
      <c r="AE4" s="63">
        <f>IF($G4="","",TODAY()-$G4)</f>
        <v/>
      </c>
      <c r="AF4" s="63">
        <f>IF($A4="","",IF($M4&gt;0,"Yes","No"))</f>
        <v/>
      </c>
      <c r="AG4" s="63">
        <f>IF($A4="","",IF(AND($E4="Yes",OR($AA4="No",$AA4="NOT FOUND")),"YES",""))</f>
        <v/>
      </c>
      <c r="AH4" s="66">
        <f>IF($A4="","",TRIM(IF(AND($Y4=0,$I4&lt;&gt;"Yes"),"T0-NoPhishResistant ","")&amp;IF($H4="No","NoMFA ","")&amp;IF(AND($Y4=0,$M4&gt;0),"T0-Standing ","")&amp;IF(AND($Y4=0,$S4="Group only"),"T0-ViaGroupOnly ","")&amp;IF($R4="Yes","BroadAzureScope ","")&amp;IF(AND($E4="Yes",$G4=""),"NeverSignedIn ","")))</f>
        <v/>
      </c>
      <c r="AI4" s="60" t="n"/>
      <c r="AJ4" s="61" t="n"/>
      <c r="AK4" s="60" t="n"/>
      <c r="AL4" s="62" t="n"/>
      <c r="AM4" s="62" t="n"/>
      <c r="AN4" s="62" t="n"/>
      <c r="AO4" s="60" t="n"/>
      <c r="AP4" s="61" t="n"/>
      <c r="AQ4" s="63">
        <f>IF($A4="","",IF(AM4="","Not Enrolled",IF(TODAY()&gt;AM4,"Review Overdue",IF(AM4-TODAY()&lt;=30,"Review Due Soon","Active"))))</f>
        <v/>
      </c>
      <c r="AR4" s="63">
        <f>IF($A4="","",IF(AN4="","NOT REVIEWED",IF(TODAY()-AN4&gt;90,"OVERDUE",IF(TODAY()-AN4&gt;76,"Due Soon","Current"))))</f>
        <v/>
      </c>
    </row>
    <row r="5" ht="15" customHeight="1" s="39">
      <c r="A5" s="61" t="n"/>
      <c r="B5" s="60" t="n"/>
      <c r="C5" s="61" t="n"/>
      <c r="D5" s="60" t="n"/>
      <c r="E5" s="60" t="n"/>
      <c r="F5" s="62" t="n"/>
      <c r="G5" s="62" t="n"/>
      <c r="H5" s="60" t="n"/>
      <c r="I5" s="60" t="n"/>
      <c r="J5" s="61" t="n"/>
      <c r="K5" s="61" t="n"/>
      <c r="L5" s="61" t="n"/>
      <c r="M5" s="60" t="n"/>
      <c r="N5" s="60" t="n"/>
      <c r="O5" s="60" t="n"/>
      <c r="P5" s="61" t="n"/>
      <c r="Q5" s="60" t="n"/>
      <c r="R5" s="60" t="n"/>
      <c r="S5" s="60" t="n"/>
      <c r="T5" s="61" t="n"/>
      <c r="U5" s="61" t="n"/>
      <c r="V5" s="60" t="n"/>
      <c r="W5" s="60" t="n"/>
      <c r="X5" s="60" t="n"/>
      <c r="Y5" s="60" t="n"/>
      <c r="Z5" s="61" t="n"/>
      <c r="AA5" s="60" t="n"/>
      <c r="AB5" s="60" t="n"/>
      <c r="AC5" s="60" t="n"/>
      <c r="AD5" s="60" t="n"/>
      <c r="AE5" s="63">
        <f>IF($G5="","",TODAY()-$G5)</f>
        <v/>
      </c>
      <c r="AF5" s="63">
        <f>IF($A5="","",IF($M5&gt;0,"Yes","No"))</f>
        <v/>
      </c>
      <c r="AG5" s="63">
        <f>IF($A5="","",IF(AND($E5="Yes",OR($AA5="No",$AA5="NOT FOUND")),"YES",""))</f>
        <v/>
      </c>
      <c r="AH5" s="66">
        <f>IF($A5="","",TRIM(IF(AND($Y5=0,$I5&lt;&gt;"Yes"),"T0-NoPhishResistant ","")&amp;IF($H5="No","NoMFA ","")&amp;IF(AND($Y5=0,$M5&gt;0),"T0-Standing ","")&amp;IF(AND($Y5=0,$S5="Group only"),"T0-ViaGroupOnly ","")&amp;IF($R5="Yes","BroadAzureScope ","")&amp;IF(AND($E5="Yes",$G5=""),"NeverSignedIn ","")))</f>
        <v/>
      </c>
      <c r="AI5" s="60" t="n"/>
      <c r="AJ5" s="61" t="n"/>
      <c r="AK5" s="60" t="n"/>
      <c r="AL5" s="62" t="n"/>
      <c r="AM5" s="62" t="n"/>
      <c r="AN5" s="62" t="n"/>
      <c r="AO5" s="60" t="n"/>
      <c r="AP5" s="61" t="n"/>
      <c r="AQ5" s="63">
        <f>IF($A5="","",IF(AM5="","Not Enrolled",IF(TODAY()&gt;AM5,"Review Overdue",IF(AM5-TODAY()&lt;=30,"Review Due Soon","Active"))))</f>
        <v/>
      </c>
      <c r="AR5" s="63">
        <f>IF($A5="","",IF(AN5="","NOT REVIEWED",IF(TODAY()-AN5&gt;90,"OVERDUE",IF(TODAY()-AN5&gt;76,"Due Soon","Current"))))</f>
        <v/>
      </c>
    </row>
    <row r="6" ht="15" customHeight="1" s="39">
      <c r="A6" s="61" t="n"/>
      <c r="B6" s="60" t="n"/>
      <c r="C6" s="61" t="n"/>
      <c r="D6" s="60" t="n"/>
      <c r="E6" s="60" t="n"/>
      <c r="F6" s="62" t="n"/>
      <c r="G6" s="62" t="n"/>
      <c r="H6" s="60" t="n"/>
      <c r="I6" s="60" t="n"/>
      <c r="J6" s="61" t="n"/>
      <c r="K6" s="61" t="n"/>
      <c r="L6" s="61" t="n"/>
      <c r="M6" s="60" t="n"/>
      <c r="N6" s="60" t="n"/>
      <c r="O6" s="60" t="n"/>
      <c r="P6" s="61" t="n"/>
      <c r="Q6" s="60" t="n"/>
      <c r="R6" s="60" t="n"/>
      <c r="S6" s="60" t="n"/>
      <c r="T6" s="61" t="n"/>
      <c r="U6" s="61" t="n"/>
      <c r="V6" s="60" t="n"/>
      <c r="W6" s="60" t="n"/>
      <c r="X6" s="60" t="n"/>
      <c r="Y6" s="60" t="n"/>
      <c r="Z6" s="61" t="n"/>
      <c r="AA6" s="60" t="n"/>
      <c r="AB6" s="60" t="n"/>
      <c r="AC6" s="60" t="n"/>
      <c r="AD6" s="60" t="n"/>
      <c r="AE6" s="63">
        <f>IF($G6="","",TODAY()-$G6)</f>
        <v/>
      </c>
      <c r="AF6" s="63">
        <f>IF($A6="","",IF($M6&gt;0,"Yes","No"))</f>
        <v/>
      </c>
      <c r="AG6" s="63">
        <f>IF($A6="","",IF(AND($E6="Yes",OR($AA6="No",$AA6="NOT FOUND")),"YES",""))</f>
        <v/>
      </c>
      <c r="AH6" s="66">
        <f>IF($A6="","",TRIM(IF(AND($Y6=0,$I6&lt;&gt;"Yes"),"T0-NoPhishResistant ","")&amp;IF($H6="No","NoMFA ","")&amp;IF(AND($Y6=0,$M6&gt;0),"T0-Standing ","")&amp;IF(AND($Y6=0,$S6="Group only"),"T0-ViaGroupOnly ","")&amp;IF($R6="Yes","BroadAzureScope ","")&amp;IF(AND($E6="Yes",$G6=""),"NeverSignedIn ","")))</f>
        <v/>
      </c>
      <c r="AI6" s="60" t="n"/>
      <c r="AJ6" s="61" t="n"/>
      <c r="AK6" s="60" t="n"/>
      <c r="AL6" s="62" t="n"/>
      <c r="AM6" s="62" t="n"/>
      <c r="AN6" s="62" t="n"/>
      <c r="AO6" s="60" t="n"/>
      <c r="AP6" s="61" t="n"/>
      <c r="AQ6" s="63">
        <f>IF($A6="","",IF(AM6="","Not Enrolled",IF(TODAY()&gt;AM6,"Review Overdue",IF(AM6-TODAY()&lt;=30,"Review Due Soon","Active"))))</f>
        <v/>
      </c>
      <c r="AR6" s="63">
        <f>IF($A6="","",IF(AN6="","NOT REVIEWED",IF(TODAY()-AN6&gt;90,"OVERDUE",IF(TODAY()-AN6&gt;76,"Due Soon","Current"))))</f>
        <v/>
      </c>
    </row>
    <row r="7" ht="15" customHeight="1" s="39">
      <c r="A7" s="61" t="n"/>
      <c r="B7" s="60" t="n"/>
      <c r="C7" s="61" t="n"/>
      <c r="D7" s="60" t="n"/>
      <c r="E7" s="60" t="n"/>
      <c r="F7" s="62" t="n"/>
      <c r="G7" s="62" t="n"/>
      <c r="H7" s="60" t="n"/>
      <c r="I7" s="60" t="n"/>
      <c r="J7" s="61" t="n"/>
      <c r="K7" s="61" t="n"/>
      <c r="L7" s="61" t="n"/>
      <c r="M7" s="60" t="n"/>
      <c r="N7" s="60" t="n"/>
      <c r="O7" s="60" t="n"/>
      <c r="P7" s="61" t="n"/>
      <c r="Q7" s="60" t="n"/>
      <c r="R7" s="60" t="n"/>
      <c r="S7" s="60" t="n"/>
      <c r="T7" s="61" t="n"/>
      <c r="U7" s="61" t="n"/>
      <c r="V7" s="60" t="n"/>
      <c r="W7" s="60" t="n"/>
      <c r="X7" s="60" t="n"/>
      <c r="Y7" s="60" t="n"/>
      <c r="Z7" s="61" t="n"/>
      <c r="AA7" s="60" t="n"/>
      <c r="AB7" s="60" t="n"/>
      <c r="AC7" s="60" t="n"/>
      <c r="AD7" s="60" t="n"/>
      <c r="AE7" s="63">
        <f>IF($G7="","",TODAY()-$G7)</f>
        <v/>
      </c>
      <c r="AF7" s="63">
        <f>IF($A7="","",IF($M7&gt;0,"Yes","No"))</f>
        <v/>
      </c>
      <c r="AG7" s="63">
        <f>IF($A7="","",IF(AND($E7="Yes",OR($AA7="No",$AA7="NOT FOUND")),"YES",""))</f>
        <v/>
      </c>
      <c r="AH7" s="66">
        <f>IF($A7="","",TRIM(IF(AND($Y7=0,$I7&lt;&gt;"Yes"),"T0-NoPhishResistant ","")&amp;IF($H7="No","NoMFA ","")&amp;IF(AND($Y7=0,$M7&gt;0),"T0-Standing ","")&amp;IF(AND($Y7=0,$S7="Group only"),"T0-ViaGroupOnly ","")&amp;IF($R7="Yes","BroadAzureScope ","")&amp;IF(AND($E7="Yes",$G7=""),"NeverSignedIn ","")))</f>
        <v/>
      </c>
      <c r="AI7" s="60" t="n"/>
      <c r="AJ7" s="61" t="n"/>
      <c r="AK7" s="60" t="n"/>
      <c r="AL7" s="62" t="n"/>
      <c r="AM7" s="62" t="n"/>
      <c r="AN7" s="62" t="n"/>
      <c r="AO7" s="60" t="n"/>
      <c r="AP7" s="61" t="n"/>
      <c r="AQ7" s="63">
        <f>IF($A7="","",IF(AM7="","Not Enrolled",IF(TODAY()&gt;AM7,"Review Overdue",IF(AM7-TODAY()&lt;=30,"Review Due Soon","Active"))))</f>
        <v/>
      </c>
      <c r="AR7" s="63">
        <f>IF($A7="","",IF(AN7="","NOT REVIEWED",IF(TODAY()-AN7&gt;90,"OVERDUE",IF(TODAY()-AN7&gt;76,"Due Soon","Current"))))</f>
        <v/>
      </c>
    </row>
    <row r="8" ht="15" customHeight="1" s="39">
      <c r="A8" s="61" t="n"/>
      <c r="B8" s="60" t="n"/>
      <c r="C8" s="61" t="n"/>
      <c r="D8" s="60" t="n"/>
      <c r="E8" s="60" t="n"/>
      <c r="F8" s="62" t="n"/>
      <c r="G8" s="62" t="n"/>
      <c r="H8" s="60" t="n"/>
      <c r="I8" s="60" t="n"/>
      <c r="J8" s="61" t="n"/>
      <c r="K8" s="61" t="n"/>
      <c r="L8" s="61" t="n"/>
      <c r="M8" s="60" t="n"/>
      <c r="N8" s="60" t="n"/>
      <c r="O8" s="60" t="n"/>
      <c r="P8" s="61" t="n"/>
      <c r="Q8" s="60" t="n"/>
      <c r="R8" s="60" t="n"/>
      <c r="S8" s="60" t="n"/>
      <c r="T8" s="61" t="n"/>
      <c r="U8" s="61" t="n"/>
      <c r="V8" s="60" t="n"/>
      <c r="W8" s="60" t="n"/>
      <c r="X8" s="60" t="n"/>
      <c r="Y8" s="60" t="n"/>
      <c r="Z8" s="61" t="n"/>
      <c r="AA8" s="60" t="n"/>
      <c r="AB8" s="60" t="n"/>
      <c r="AC8" s="60" t="n"/>
      <c r="AD8" s="60" t="n"/>
      <c r="AE8" s="63">
        <f>IF($G8="","",TODAY()-$G8)</f>
        <v/>
      </c>
      <c r="AF8" s="63">
        <f>IF($A8="","",IF($M8&gt;0,"Yes","No"))</f>
        <v/>
      </c>
      <c r="AG8" s="63">
        <f>IF($A8="","",IF(AND($E8="Yes",OR($AA8="No",$AA8="NOT FOUND")),"YES",""))</f>
        <v/>
      </c>
      <c r="AH8" s="66">
        <f>IF($A8="","",TRIM(IF(AND($Y8=0,$I8&lt;&gt;"Yes"),"T0-NoPhishResistant ","")&amp;IF($H8="No","NoMFA ","")&amp;IF(AND($Y8=0,$M8&gt;0),"T0-Standing ","")&amp;IF(AND($Y8=0,$S8="Group only"),"T0-ViaGroupOnly ","")&amp;IF($R8="Yes","BroadAzureScope ","")&amp;IF(AND($E8="Yes",$G8=""),"NeverSignedIn ","")))</f>
        <v/>
      </c>
      <c r="AI8" s="60" t="n"/>
      <c r="AJ8" s="61" t="n"/>
      <c r="AK8" s="60" t="n"/>
      <c r="AL8" s="62" t="n"/>
      <c r="AM8" s="62" t="n"/>
      <c r="AN8" s="62" t="n"/>
      <c r="AO8" s="60" t="n"/>
      <c r="AP8" s="61" t="n"/>
      <c r="AQ8" s="63">
        <f>IF($A8="","",IF(AM8="","Not Enrolled",IF(TODAY()&gt;AM8,"Review Overdue",IF(AM8-TODAY()&lt;=30,"Review Due Soon","Active"))))</f>
        <v/>
      </c>
      <c r="AR8" s="63">
        <f>IF($A8="","",IF(AN8="","NOT REVIEWED",IF(TODAY()-AN8&gt;90,"OVERDUE",IF(TODAY()-AN8&gt;76,"Due Soon","Current"))))</f>
        <v/>
      </c>
    </row>
    <row r="9" ht="15" customHeight="1" s="39">
      <c r="A9" s="61" t="n"/>
      <c r="B9" s="60" t="n"/>
      <c r="C9" s="61" t="n"/>
      <c r="D9" s="60" t="n"/>
      <c r="E9" s="60" t="n"/>
      <c r="F9" s="62" t="n"/>
      <c r="G9" s="62" t="n"/>
      <c r="H9" s="60" t="n"/>
      <c r="I9" s="60" t="n"/>
      <c r="J9" s="61" t="n"/>
      <c r="K9" s="61" t="n"/>
      <c r="L9" s="61" t="n"/>
      <c r="M9" s="60" t="n"/>
      <c r="N9" s="60" t="n"/>
      <c r="O9" s="60" t="n"/>
      <c r="P9" s="61" t="n"/>
      <c r="Q9" s="60" t="n"/>
      <c r="R9" s="60" t="n"/>
      <c r="S9" s="60" t="n"/>
      <c r="T9" s="61" t="n"/>
      <c r="U9" s="61" t="n"/>
      <c r="V9" s="60" t="n"/>
      <c r="W9" s="60" t="n"/>
      <c r="X9" s="60" t="n"/>
      <c r="Y9" s="60" t="n"/>
      <c r="Z9" s="61" t="n"/>
      <c r="AA9" s="60" t="n"/>
      <c r="AB9" s="60" t="n"/>
      <c r="AC9" s="60" t="n"/>
      <c r="AD9" s="60" t="n"/>
      <c r="AE9" s="63">
        <f>IF($G9="","",TODAY()-$G9)</f>
        <v/>
      </c>
      <c r="AF9" s="63">
        <f>IF($A9="","",IF($M9&gt;0,"Yes","No"))</f>
        <v/>
      </c>
      <c r="AG9" s="63">
        <f>IF($A9="","",IF(AND($E9="Yes",OR($AA9="No",$AA9="NOT FOUND")),"YES",""))</f>
        <v/>
      </c>
      <c r="AH9" s="66">
        <f>IF($A9="","",TRIM(IF(AND($Y9=0,$I9&lt;&gt;"Yes"),"T0-NoPhishResistant ","")&amp;IF($H9="No","NoMFA ","")&amp;IF(AND($Y9=0,$M9&gt;0),"T0-Standing ","")&amp;IF(AND($Y9=0,$S9="Group only"),"T0-ViaGroupOnly ","")&amp;IF($R9="Yes","BroadAzureScope ","")&amp;IF(AND($E9="Yes",$G9=""),"NeverSignedIn ","")))</f>
        <v/>
      </c>
      <c r="AI9" s="60" t="n"/>
      <c r="AJ9" s="61" t="n"/>
      <c r="AK9" s="60" t="n"/>
      <c r="AL9" s="62" t="n"/>
      <c r="AM9" s="62" t="n"/>
      <c r="AN9" s="62" t="n"/>
      <c r="AO9" s="60" t="n"/>
      <c r="AP9" s="61" t="n"/>
      <c r="AQ9" s="63">
        <f>IF($A9="","",IF(AM9="","Not Enrolled",IF(TODAY()&gt;AM9,"Review Overdue",IF(AM9-TODAY()&lt;=30,"Review Due Soon","Active"))))</f>
        <v/>
      </c>
      <c r="AR9" s="63">
        <f>IF($A9="","",IF(AN9="","NOT REVIEWED",IF(TODAY()-AN9&gt;90,"OVERDUE",IF(TODAY()-AN9&gt;76,"Due Soon","Current"))))</f>
        <v/>
      </c>
    </row>
    <row r="10" ht="15" customHeight="1" s="39">
      <c r="A10" s="61" t="n"/>
      <c r="B10" s="60" t="n"/>
      <c r="C10" s="61" t="n"/>
      <c r="D10" s="60" t="n"/>
      <c r="E10" s="60" t="n"/>
      <c r="F10" s="62" t="n"/>
      <c r="G10" s="62" t="n"/>
      <c r="H10" s="60" t="n"/>
      <c r="I10" s="60" t="n"/>
      <c r="J10" s="61" t="n"/>
      <c r="K10" s="61" t="n"/>
      <c r="L10" s="61" t="n"/>
      <c r="M10" s="60" t="n"/>
      <c r="N10" s="60" t="n"/>
      <c r="O10" s="60" t="n"/>
      <c r="P10" s="61" t="n"/>
      <c r="Q10" s="60" t="n"/>
      <c r="R10" s="60" t="n"/>
      <c r="S10" s="60" t="n"/>
      <c r="T10" s="61" t="n"/>
      <c r="U10" s="61" t="n"/>
      <c r="V10" s="60" t="n"/>
      <c r="W10" s="60" t="n"/>
      <c r="X10" s="60" t="n"/>
      <c r="Y10" s="60" t="n"/>
      <c r="Z10" s="61" t="n"/>
      <c r="AA10" s="60" t="n"/>
      <c r="AB10" s="60" t="n"/>
      <c r="AC10" s="60" t="n"/>
      <c r="AD10" s="60" t="n"/>
      <c r="AE10" s="63">
        <f>IF($G10="","",TODAY()-$G10)</f>
        <v/>
      </c>
      <c r="AF10" s="63">
        <f>IF($A10="","",IF($M10&gt;0,"Yes","No"))</f>
        <v/>
      </c>
      <c r="AG10" s="63">
        <f>IF($A10="","",IF(AND($E10="Yes",OR($AA10="No",$AA10="NOT FOUND")),"YES",""))</f>
        <v/>
      </c>
      <c r="AH10" s="66">
        <f>IF($A10="","",TRIM(IF(AND($Y10=0,$I10&lt;&gt;"Yes"),"T0-NoPhishResistant ","")&amp;IF($H10="No","NoMFA ","")&amp;IF(AND($Y10=0,$M10&gt;0),"T0-Standing ","")&amp;IF(AND($Y10=0,$S10="Group only"),"T0-ViaGroupOnly ","")&amp;IF($R10="Yes","BroadAzureScope ","")&amp;IF(AND($E10="Yes",$G10=""),"NeverSignedIn ","")))</f>
        <v/>
      </c>
      <c r="AI10" s="60" t="n"/>
      <c r="AJ10" s="61" t="n"/>
      <c r="AK10" s="60" t="n"/>
      <c r="AL10" s="62" t="n"/>
      <c r="AM10" s="62" t="n"/>
      <c r="AN10" s="62" t="n"/>
      <c r="AO10" s="60" t="n"/>
      <c r="AP10" s="61" t="n"/>
      <c r="AQ10" s="63">
        <f>IF($A10="","",IF(AM10="","Not Enrolled",IF(TODAY()&gt;AM10,"Review Overdue",IF(AM10-TODAY()&lt;=30,"Review Due Soon","Active"))))</f>
        <v/>
      </c>
      <c r="AR10" s="63">
        <f>IF($A10="","",IF(AN10="","NOT REVIEWED",IF(TODAY()-AN10&gt;90,"OVERDUE",IF(TODAY()-AN10&gt;76,"Due Soon","Current"))))</f>
        <v/>
      </c>
    </row>
    <row r="11" ht="15" customHeight="1" s="39">
      <c r="A11" s="61" t="n"/>
      <c r="B11" s="60" t="n"/>
      <c r="C11" s="61" t="n"/>
      <c r="D11" s="60" t="n"/>
      <c r="E11" s="60" t="n"/>
      <c r="F11" s="62" t="n"/>
      <c r="G11" s="62" t="n"/>
      <c r="H11" s="60" t="n"/>
      <c r="I11" s="60" t="n"/>
      <c r="J11" s="61" t="n"/>
      <c r="K11" s="61" t="n"/>
      <c r="L11" s="61" t="n"/>
      <c r="M11" s="60" t="n"/>
      <c r="N11" s="60" t="n"/>
      <c r="O11" s="60" t="n"/>
      <c r="P11" s="61" t="n"/>
      <c r="Q11" s="60" t="n"/>
      <c r="R11" s="60" t="n"/>
      <c r="S11" s="60" t="n"/>
      <c r="T11" s="61" t="n"/>
      <c r="U11" s="61" t="n"/>
      <c r="V11" s="60" t="n"/>
      <c r="W11" s="60" t="n"/>
      <c r="X11" s="60" t="n"/>
      <c r="Y11" s="60" t="n"/>
      <c r="Z11" s="61" t="n"/>
      <c r="AA11" s="60" t="n"/>
      <c r="AB11" s="60" t="n"/>
      <c r="AC11" s="60" t="n"/>
      <c r="AD11" s="60" t="n"/>
      <c r="AE11" s="63">
        <f>IF($G11="","",TODAY()-$G11)</f>
        <v/>
      </c>
      <c r="AF11" s="63">
        <f>IF($A11="","",IF($M11&gt;0,"Yes","No"))</f>
        <v/>
      </c>
      <c r="AG11" s="63">
        <f>IF($A11="","",IF(AND($E11="Yes",OR($AA11="No",$AA11="NOT FOUND")),"YES",""))</f>
        <v/>
      </c>
      <c r="AH11" s="66">
        <f>IF($A11="","",TRIM(IF(AND($Y11=0,$I11&lt;&gt;"Yes"),"T0-NoPhishResistant ","")&amp;IF($H11="No","NoMFA ","")&amp;IF(AND($Y11=0,$M11&gt;0),"T0-Standing ","")&amp;IF(AND($Y11=0,$S11="Group only"),"T0-ViaGroupOnly ","")&amp;IF($R11="Yes","BroadAzureScope ","")&amp;IF(AND($E11="Yes",$G11=""),"NeverSignedIn ","")))</f>
        <v/>
      </c>
      <c r="AI11" s="60" t="n"/>
      <c r="AJ11" s="61" t="n"/>
      <c r="AK11" s="60" t="n"/>
      <c r="AL11" s="62" t="n"/>
      <c r="AM11" s="62" t="n"/>
      <c r="AN11" s="62" t="n"/>
      <c r="AO11" s="60" t="n"/>
      <c r="AP11" s="61" t="n"/>
      <c r="AQ11" s="63">
        <f>IF($A11="","",IF(AM11="","Not Enrolled",IF(TODAY()&gt;AM11,"Review Overdue",IF(AM11-TODAY()&lt;=30,"Review Due Soon","Active"))))</f>
        <v/>
      </c>
      <c r="AR11" s="63">
        <f>IF($A11="","",IF(AN11="","NOT REVIEWED",IF(TODAY()-AN11&gt;90,"OVERDUE",IF(TODAY()-AN11&gt;76,"Due Soon","Current"))))</f>
        <v/>
      </c>
    </row>
    <row r="12" ht="15" customHeight="1" s="39">
      <c r="A12" s="61" t="n"/>
      <c r="B12" s="60" t="n"/>
      <c r="C12" s="61" t="n"/>
      <c r="D12" s="60" t="n"/>
      <c r="E12" s="60" t="n"/>
      <c r="F12" s="62" t="n"/>
      <c r="G12" s="62" t="n"/>
      <c r="H12" s="60" t="n"/>
      <c r="I12" s="60" t="n"/>
      <c r="J12" s="61" t="n"/>
      <c r="K12" s="61" t="n"/>
      <c r="L12" s="61" t="n"/>
      <c r="M12" s="60" t="n"/>
      <c r="N12" s="60" t="n"/>
      <c r="O12" s="60" t="n"/>
      <c r="P12" s="61" t="n"/>
      <c r="Q12" s="60" t="n"/>
      <c r="R12" s="60" t="n"/>
      <c r="S12" s="60" t="n"/>
      <c r="T12" s="61" t="n"/>
      <c r="U12" s="61" t="n"/>
      <c r="V12" s="60" t="n"/>
      <c r="W12" s="60" t="n"/>
      <c r="X12" s="60" t="n"/>
      <c r="Y12" s="60" t="n"/>
      <c r="Z12" s="61" t="n"/>
      <c r="AA12" s="60" t="n"/>
      <c r="AB12" s="60" t="n"/>
      <c r="AC12" s="60" t="n"/>
      <c r="AD12" s="60" t="n"/>
      <c r="AE12" s="63">
        <f>IF($G12="","",TODAY()-$G12)</f>
        <v/>
      </c>
      <c r="AF12" s="63">
        <f>IF($A12="","",IF($M12&gt;0,"Yes","No"))</f>
        <v/>
      </c>
      <c r="AG12" s="63">
        <f>IF($A12="","",IF(AND($E12="Yes",OR($AA12="No",$AA12="NOT FOUND")),"YES",""))</f>
        <v/>
      </c>
      <c r="AH12" s="66">
        <f>IF($A12="","",TRIM(IF(AND($Y12=0,$I12&lt;&gt;"Yes"),"T0-NoPhishResistant ","")&amp;IF($H12="No","NoMFA ","")&amp;IF(AND($Y12=0,$M12&gt;0),"T0-Standing ","")&amp;IF(AND($Y12=0,$S12="Group only"),"T0-ViaGroupOnly ","")&amp;IF($R12="Yes","BroadAzureScope ","")&amp;IF(AND($E12="Yes",$G12=""),"NeverSignedIn ","")))</f>
        <v/>
      </c>
      <c r="AI12" s="60" t="n"/>
      <c r="AJ12" s="61" t="n"/>
      <c r="AK12" s="60" t="n"/>
      <c r="AL12" s="62" t="n"/>
      <c r="AM12" s="62" t="n"/>
      <c r="AN12" s="62" t="n"/>
      <c r="AO12" s="60" t="n"/>
      <c r="AP12" s="61" t="n"/>
      <c r="AQ12" s="63">
        <f>IF($A12="","",IF(AM12="","Not Enrolled",IF(TODAY()&gt;AM12,"Review Overdue",IF(AM12-TODAY()&lt;=30,"Review Due Soon","Active"))))</f>
        <v/>
      </c>
      <c r="AR12" s="63">
        <f>IF($A12="","",IF(AN12="","NOT REVIEWED",IF(TODAY()-AN12&gt;90,"OVERDUE",IF(TODAY()-AN12&gt;76,"Due Soon","Current"))))</f>
        <v/>
      </c>
    </row>
    <row r="13" ht="15" customHeight="1" s="39">
      <c r="A13" s="61" t="n"/>
      <c r="B13" s="60" t="n"/>
      <c r="C13" s="61" t="n"/>
      <c r="D13" s="60" t="n"/>
      <c r="E13" s="60" t="n"/>
      <c r="F13" s="62" t="n"/>
      <c r="G13" s="62" t="n"/>
      <c r="H13" s="60" t="n"/>
      <c r="I13" s="60" t="n"/>
      <c r="J13" s="61" t="n"/>
      <c r="K13" s="61" t="n"/>
      <c r="L13" s="61" t="n"/>
      <c r="M13" s="60" t="n"/>
      <c r="N13" s="60" t="n"/>
      <c r="O13" s="60" t="n"/>
      <c r="P13" s="61" t="n"/>
      <c r="Q13" s="60" t="n"/>
      <c r="R13" s="60" t="n"/>
      <c r="S13" s="60" t="n"/>
      <c r="T13" s="61" t="n"/>
      <c r="U13" s="61" t="n"/>
      <c r="V13" s="60" t="n"/>
      <c r="W13" s="60" t="n"/>
      <c r="X13" s="60" t="n"/>
      <c r="Y13" s="60" t="n"/>
      <c r="Z13" s="61" t="n"/>
      <c r="AA13" s="60" t="n"/>
      <c r="AB13" s="60" t="n"/>
      <c r="AC13" s="60" t="n"/>
      <c r="AD13" s="60" t="n"/>
      <c r="AE13" s="63">
        <f>IF($G13="","",TODAY()-$G13)</f>
        <v/>
      </c>
      <c r="AF13" s="63">
        <f>IF($A13="","",IF($M13&gt;0,"Yes","No"))</f>
        <v/>
      </c>
      <c r="AG13" s="63">
        <f>IF($A13="","",IF(AND($E13="Yes",OR($AA13="No",$AA13="NOT FOUND")),"YES",""))</f>
        <v/>
      </c>
      <c r="AH13" s="66">
        <f>IF($A13="","",TRIM(IF(AND($Y13=0,$I13&lt;&gt;"Yes"),"T0-NoPhishResistant ","")&amp;IF($H13="No","NoMFA ","")&amp;IF(AND($Y13=0,$M13&gt;0),"T0-Standing ","")&amp;IF(AND($Y13=0,$S13="Group only"),"T0-ViaGroupOnly ","")&amp;IF($R13="Yes","BroadAzureScope ","")&amp;IF(AND($E13="Yes",$G13=""),"NeverSignedIn ","")))</f>
        <v/>
      </c>
      <c r="AI13" s="60" t="n"/>
      <c r="AJ13" s="61" t="n"/>
      <c r="AK13" s="60" t="n"/>
      <c r="AL13" s="62" t="n"/>
      <c r="AM13" s="62" t="n"/>
      <c r="AN13" s="62" t="n"/>
      <c r="AO13" s="60" t="n"/>
      <c r="AP13" s="61" t="n"/>
      <c r="AQ13" s="63">
        <f>IF($A13="","",IF(AM13="","Not Enrolled",IF(TODAY()&gt;AM13,"Review Overdue",IF(AM13-TODAY()&lt;=30,"Review Due Soon","Active"))))</f>
        <v/>
      </c>
      <c r="AR13" s="63">
        <f>IF($A13="","",IF(AN13="","NOT REVIEWED",IF(TODAY()-AN13&gt;90,"OVERDUE",IF(TODAY()-AN13&gt;76,"Due Soon","Current"))))</f>
        <v/>
      </c>
    </row>
    <row r="14" ht="15" customHeight="1" s="39">
      <c r="A14" s="61" t="n"/>
      <c r="B14" s="60" t="n"/>
      <c r="C14" s="61" t="n"/>
      <c r="D14" s="60" t="n"/>
      <c r="E14" s="60" t="n"/>
      <c r="F14" s="62" t="n"/>
      <c r="G14" s="62" t="n"/>
      <c r="H14" s="60" t="n"/>
      <c r="I14" s="60" t="n"/>
      <c r="J14" s="61" t="n"/>
      <c r="K14" s="61" t="n"/>
      <c r="L14" s="61" t="n"/>
      <c r="M14" s="60" t="n"/>
      <c r="N14" s="60" t="n"/>
      <c r="O14" s="60" t="n"/>
      <c r="P14" s="61" t="n"/>
      <c r="Q14" s="60" t="n"/>
      <c r="R14" s="60" t="n"/>
      <c r="S14" s="60" t="n"/>
      <c r="T14" s="61" t="n"/>
      <c r="U14" s="61" t="n"/>
      <c r="V14" s="60" t="n"/>
      <c r="W14" s="60" t="n"/>
      <c r="X14" s="60" t="n"/>
      <c r="Y14" s="60" t="n"/>
      <c r="Z14" s="61" t="n"/>
      <c r="AA14" s="60" t="n"/>
      <c r="AB14" s="60" t="n"/>
      <c r="AC14" s="60" t="n"/>
      <c r="AD14" s="60" t="n"/>
      <c r="AE14" s="63">
        <f>IF($G14="","",TODAY()-$G14)</f>
        <v/>
      </c>
      <c r="AF14" s="63">
        <f>IF($A14="","",IF($M14&gt;0,"Yes","No"))</f>
        <v/>
      </c>
      <c r="AG14" s="63">
        <f>IF($A14="","",IF(AND($E14="Yes",OR($AA14="No",$AA14="NOT FOUND")),"YES",""))</f>
        <v/>
      </c>
      <c r="AH14" s="66">
        <f>IF($A14="","",TRIM(IF(AND($Y14=0,$I14&lt;&gt;"Yes"),"T0-NoPhishResistant ","")&amp;IF($H14="No","NoMFA ","")&amp;IF(AND($Y14=0,$M14&gt;0),"T0-Standing ","")&amp;IF(AND($Y14=0,$S14="Group only"),"T0-ViaGroupOnly ","")&amp;IF($R14="Yes","BroadAzureScope ","")&amp;IF(AND($E14="Yes",$G14=""),"NeverSignedIn ","")))</f>
        <v/>
      </c>
      <c r="AI14" s="60" t="n"/>
      <c r="AJ14" s="61" t="n"/>
      <c r="AK14" s="60" t="n"/>
      <c r="AL14" s="62" t="n"/>
      <c r="AM14" s="62" t="n"/>
      <c r="AN14" s="62" t="n"/>
      <c r="AO14" s="60" t="n"/>
      <c r="AP14" s="61" t="n"/>
      <c r="AQ14" s="63">
        <f>IF($A14="","",IF(AM14="","Not Enrolled",IF(TODAY()&gt;AM14,"Review Overdue",IF(AM14-TODAY()&lt;=30,"Review Due Soon","Active"))))</f>
        <v/>
      </c>
      <c r="AR14" s="63">
        <f>IF($A14="","",IF(AN14="","NOT REVIEWED",IF(TODAY()-AN14&gt;90,"OVERDUE",IF(TODAY()-AN14&gt;76,"Due Soon","Current"))))</f>
        <v/>
      </c>
    </row>
    <row r="15" ht="15" customHeight="1" s="39">
      <c r="A15" s="61" t="n"/>
      <c r="B15" s="60" t="n"/>
      <c r="C15" s="61" t="n"/>
      <c r="D15" s="60" t="n"/>
      <c r="E15" s="60" t="n"/>
      <c r="F15" s="62" t="n"/>
      <c r="G15" s="62" t="n"/>
      <c r="H15" s="60" t="n"/>
      <c r="I15" s="60" t="n"/>
      <c r="J15" s="61" t="n"/>
      <c r="K15" s="61" t="n"/>
      <c r="L15" s="61" t="n"/>
      <c r="M15" s="60" t="n"/>
      <c r="N15" s="60" t="n"/>
      <c r="O15" s="60" t="n"/>
      <c r="P15" s="61" t="n"/>
      <c r="Q15" s="60" t="n"/>
      <c r="R15" s="60" t="n"/>
      <c r="S15" s="60" t="n"/>
      <c r="T15" s="61" t="n"/>
      <c r="U15" s="61" t="n"/>
      <c r="V15" s="60" t="n"/>
      <c r="W15" s="60" t="n"/>
      <c r="X15" s="60" t="n"/>
      <c r="Y15" s="60" t="n"/>
      <c r="Z15" s="61" t="n"/>
      <c r="AA15" s="60" t="n"/>
      <c r="AB15" s="60" t="n"/>
      <c r="AC15" s="60" t="n"/>
      <c r="AD15" s="60" t="n"/>
      <c r="AE15" s="63">
        <f>IF($G15="","",TODAY()-$G15)</f>
        <v/>
      </c>
      <c r="AF15" s="63">
        <f>IF($A15="","",IF($M15&gt;0,"Yes","No"))</f>
        <v/>
      </c>
      <c r="AG15" s="63">
        <f>IF($A15="","",IF(AND($E15="Yes",OR($AA15="No",$AA15="NOT FOUND")),"YES",""))</f>
        <v/>
      </c>
      <c r="AH15" s="66">
        <f>IF($A15="","",TRIM(IF(AND($Y15=0,$I15&lt;&gt;"Yes"),"T0-NoPhishResistant ","")&amp;IF($H15="No","NoMFA ","")&amp;IF(AND($Y15=0,$M15&gt;0),"T0-Standing ","")&amp;IF(AND($Y15=0,$S15="Group only"),"T0-ViaGroupOnly ","")&amp;IF($R15="Yes","BroadAzureScope ","")&amp;IF(AND($E15="Yes",$G15=""),"NeverSignedIn ","")))</f>
        <v/>
      </c>
      <c r="AI15" s="60" t="n"/>
      <c r="AJ15" s="61" t="n"/>
      <c r="AK15" s="60" t="n"/>
      <c r="AL15" s="62" t="n"/>
      <c r="AM15" s="62" t="n"/>
      <c r="AN15" s="62" t="n"/>
      <c r="AO15" s="60" t="n"/>
      <c r="AP15" s="61" t="n"/>
      <c r="AQ15" s="63">
        <f>IF($A15="","",IF(AM15="","Not Enrolled",IF(TODAY()&gt;AM15,"Review Overdue",IF(AM15-TODAY()&lt;=30,"Review Due Soon","Active"))))</f>
        <v/>
      </c>
      <c r="AR15" s="63">
        <f>IF($A15="","",IF(AN15="","NOT REVIEWED",IF(TODAY()-AN15&gt;90,"OVERDUE",IF(TODAY()-AN15&gt;76,"Due Soon","Current"))))</f>
        <v/>
      </c>
    </row>
    <row r="16" ht="15" customHeight="1" s="39">
      <c r="A16" s="61" t="n"/>
      <c r="B16" s="60" t="n"/>
      <c r="C16" s="61" t="n"/>
      <c r="D16" s="60" t="n"/>
      <c r="E16" s="60" t="n"/>
      <c r="F16" s="62" t="n"/>
      <c r="G16" s="62" t="n"/>
      <c r="H16" s="60" t="n"/>
      <c r="I16" s="60" t="n"/>
      <c r="J16" s="61" t="n"/>
      <c r="K16" s="61" t="n"/>
      <c r="L16" s="61" t="n"/>
      <c r="M16" s="60" t="n"/>
      <c r="N16" s="60" t="n"/>
      <c r="O16" s="60" t="n"/>
      <c r="P16" s="61" t="n"/>
      <c r="Q16" s="60" t="n"/>
      <c r="R16" s="60" t="n"/>
      <c r="S16" s="60" t="n"/>
      <c r="T16" s="61" t="n"/>
      <c r="U16" s="61" t="n"/>
      <c r="V16" s="60" t="n"/>
      <c r="W16" s="60" t="n"/>
      <c r="X16" s="60" t="n"/>
      <c r="Y16" s="60" t="n"/>
      <c r="Z16" s="61" t="n"/>
      <c r="AA16" s="60" t="n"/>
      <c r="AB16" s="60" t="n"/>
      <c r="AC16" s="60" t="n"/>
      <c r="AD16" s="60" t="n"/>
      <c r="AE16" s="63">
        <f>IF($G16="","",TODAY()-$G16)</f>
        <v/>
      </c>
      <c r="AF16" s="63">
        <f>IF($A16="","",IF($M16&gt;0,"Yes","No"))</f>
        <v/>
      </c>
      <c r="AG16" s="63">
        <f>IF($A16="","",IF(AND($E16="Yes",OR($AA16="No",$AA16="NOT FOUND")),"YES",""))</f>
        <v/>
      </c>
      <c r="AH16" s="66">
        <f>IF($A16="","",TRIM(IF(AND($Y16=0,$I16&lt;&gt;"Yes"),"T0-NoPhishResistant ","")&amp;IF($H16="No","NoMFA ","")&amp;IF(AND($Y16=0,$M16&gt;0),"T0-Standing ","")&amp;IF(AND($Y16=0,$S16="Group only"),"T0-ViaGroupOnly ","")&amp;IF($R16="Yes","BroadAzureScope ","")&amp;IF(AND($E16="Yes",$G16=""),"NeverSignedIn ","")))</f>
        <v/>
      </c>
      <c r="AI16" s="60" t="n"/>
      <c r="AJ16" s="61" t="n"/>
      <c r="AK16" s="60" t="n"/>
      <c r="AL16" s="62" t="n"/>
      <c r="AM16" s="62" t="n"/>
      <c r="AN16" s="62" t="n"/>
      <c r="AO16" s="60" t="n"/>
      <c r="AP16" s="61" t="n"/>
      <c r="AQ16" s="63">
        <f>IF($A16="","",IF(AM16="","Not Enrolled",IF(TODAY()&gt;AM16,"Review Overdue",IF(AM16-TODAY()&lt;=30,"Review Due Soon","Active"))))</f>
        <v/>
      </c>
      <c r="AR16" s="63">
        <f>IF($A16="","",IF(AN16="","NOT REVIEWED",IF(TODAY()-AN16&gt;90,"OVERDUE",IF(TODAY()-AN16&gt;76,"Due Soon","Current"))))</f>
        <v/>
      </c>
    </row>
    <row r="17" ht="15" customHeight="1" s="39">
      <c r="A17" s="61" t="n"/>
      <c r="B17" s="60" t="n"/>
      <c r="C17" s="61" t="n"/>
      <c r="D17" s="60" t="n"/>
      <c r="E17" s="60" t="n"/>
      <c r="F17" s="62" t="n"/>
      <c r="G17" s="62" t="n"/>
      <c r="H17" s="60" t="n"/>
      <c r="I17" s="60" t="n"/>
      <c r="J17" s="61" t="n"/>
      <c r="K17" s="61" t="n"/>
      <c r="L17" s="61" t="n"/>
      <c r="M17" s="60" t="n"/>
      <c r="N17" s="60" t="n"/>
      <c r="O17" s="60" t="n"/>
      <c r="P17" s="61" t="n"/>
      <c r="Q17" s="60" t="n"/>
      <c r="R17" s="60" t="n"/>
      <c r="S17" s="60" t="n"/>
      <c r="T17" s="61" t="n"/>
      <c r="U17" s="61" t="n"/>
      <c r="V17" s="60" t="n"/>
      <c r="W17" s="60" t="n"/>
      <c r="X17" s="60" t="n"/>
      <c r="Y17" s="60" t="n"/>
      <c r="Z17" s="61" t="n"/>
      <c r="AA17" s="60" t="n"/>
      <c r="AB17" s="60" t="n"/>
      <c r="AC17" s="60" t="n"/>
      <c r="AD17" s="60" t="n"/>
      <c r="AE17" s="63">
        <f>IF($G17="","",TODAY()-$G17)</f>
        <v/>
      </c>
      <c r="AF17" s="63">
        <f>IF($A17="","",IF($M17&gt;0,"Yes","No"))</f>
        <v/>
      </c>
      <c r="AG17" s="63">
        <f>IF($A17="","",IF(AND($E17="Yes",OR($AA17="No",$AA17="NOT FOUND")),"YES",""))</f>
        <v/>
      </c>
      <c r="AH17" s="66">
        <f>IF($A17="","",TRIM(IF(AND($Y17=0,$I17&lt;&gt;"Yes"),"T0-NoPhishResistant ","")&amp;IF($H17="No","NoMFA ","")&amp;IF(AND($Y17=0,$M17&gt;0),"T0-Standing ","")&amp;IF(AND($Y17=0,$S17="Group only"),"T0-ViaGroupOnly ","")&amp;IF($R17="Yes","BroadAzureScope ","")&amp;IF(AND($E17="Yes",$G17=""),"NeverSignedIn ","")))</f>
        <v/>
      </c>
      <c r="AI17" s="60" t="n"/>
      <c r="AJ17" s="61" t="n"/>
      <c r="AK17" s="60" t="n"/>
      <c r="AL17" s="62" t="n"/>
      <c r="AM17" s="62" t="n"/>
      <c r="AN17" s="62" t="n"/>
      <c r="AO17" s="60" t="n"/>
      <c r="AP17" s="61" t="n"/>
      <c r="AQ17" s="63">
        <f>IF($A17="","",IF(AM17="","Not Enrolled",IF(TODAY()&gt;AM17,"Review Overdue",IF(AM17-TODAY()&lt;=30,"Review Due Soon","Active"))))</f>
        <v/>
      </c>
      <c r="AR17" s="63">
        <f>IF($A17="","",IF(AN17="","NOT REVIEWED",IF(TODAY()-AN17&gt;90,"OVERDUE",IF(TODAY()-AN17&gt;76,"Due Soon","Current"))))</f>
        <v/>
      </c>
    </row>
    <row r="18" ht="15" customHeight="1" s="39">
      <c r="A18" s="61" t="n"/>
      <c r="B18" s="60" t="n"/>
      <c r="C18" s="61" t="n"/>
      <c r="D18" s="60" t="n"/>
      <c r="E18" s="60" t="n"/>
      <c r="F18" s="62" t="n"/>
      <c r="G18" s="62" t="n"/>
      <c r="H18" s="60" t="n"/>
      <c r="I18" s="60" t="n"/>
      <c r="J18" s="61" t="n"/>
      <c r="K18" s="61" t="n"/>
      <c r="L18" s="61" t="n"/>
      <c r="M18" s="60" t="n"/>
      <c r="N18" s="60" t="n"/>
      <c r="O18" s="60" t="n"/>
      <c r="P18" s="61" t="n"/>
      <c r="Q18" s="60" t="n"/>
      <c r="R18" s="60" t="n"/>
      <c r="S18" s="60" t="n"/>
      <c r="T18" s="61" t="n"/>
      <c r="U18" s="61" t="n"/>
      <c r="V18" s="60" t="n"/>
      <c r="W18" s="60" t="n"/>
      <c r="X18" s="60" t="n"/>
      <c r="Y18" s="60" t="n"/>
      <c r="Z18" s="61" t="n"/>
      <c r="AA18" s="60" t="n"/>
      <c r="AB18" s="60" t="n"/>
      <c r="AC18" s="60" t="n"/>
      <c r="AD18" s="60" t="n"/>
      <c r="AE18" s="63">
        <f>IF($G18="","",TODAY()-$G18)</f>
        <v/>
      </c>
      <c r="AF18" s="63">
        <f>IF($A18="","",IF($M18&gt;0,"Yes","No"))</f>
        <v/>
      </c>
      <c r="AG18" s="63">
        <f>IF($A18="","",IF(AND($E18="Yes",OR($AA18="No",$AA18="NOT FOUND")),"YES",""))</f>
        <v/>
      </c>
      <c r="AH18" s="66">
        <f>IF($A18="","",TRIM(IF(AND($Y18=0,$I18&lt;&gt;"Yes"),"T0-NoPhishResistant ","")&amp;IF($H18="No","NoMFA ","")&amp;IF(AND($Y18=0,$M18&gt;0),"T0-Standing ","")&amp;IF(AND($Y18=0,$S18="Group only"),"T0-ViaGroupOnly ","")&amp;IF($R18="Yes","BroadAzureScope ","")&amp;IF(AND($E18="Yes",$G18=""),"NeverSignedIn ","")))</f>
        <v/>
      </c>
      <c r="AI18" s="60" t="n"/>
      <c r="AJ18" s="61" t="n"/>
      <c r="AK18" s="60" t="n"/>
      <c r="AL18" s="62" t="n"/>
      <c r="AM18" s="62" t="n"/>
      <c r="AN18" s="62" t="n"/>
      <c r="AO18" s="60" t="n"/>
      <c r="AP18" s="61" t="n"/>
      <c r="AQ18" s="63">
        <f>IF($A18="","",IF(AM18="","Not Enrolled",IF(TODAY()&gt;AM18,"Review Overdue",IF(AM18-TODAY()&lt;=30,"Review Due Soon","Active"))))</f>
        <v/>
      </c>
      <c r="AR18" s="63">
        <f>IF($A18="","",IF(AN18="","NOT REVIEWED",IF(TODAY()-AN18&gt;90,"OVERDUE",IF(TODAY()-AN18&gt;76,"Due Soon","Current"))))</f>
        <v/>
      </c>
    </row>
    <row r="19" ht="15" customHeight="1" s="39">
      <c r="A19" s="61" t="n"/>
      <c r="B19" s="60" t="n"/>
      <c r="C19" s="61" t="n"/>
      <c r="D19" s="60" t="n"/>
      <c r="E19" s="60" t="n"/>
      <c r="F19" s="62" t="n"/>
      <c r="G19" s="62" t="n"/>
      <c r="H19" s="60" t="n"/>
      <c r="I19" s="60" t="n"/>
      <c r="J19" s="61" t="n"/>
      <c r="K19" s="61" t="n"/>
      <c r="L19" s="61" t="n"/>
      <c r="M19" s="60" t="n"/>
      <c r="N19" s="60" t="n"/>
      <c r="O19" s="60" t="n"/>
      <c r="P19" s="61" t="n"/>
      <c r="Q19" s="60" t="n"/>
      <c r="R19" s="60" t="n"/>
      <c r="S19" s="60" t="n"/>
      <c r="T19" s="61" t="n"/>
      <c r="U19" s="61" t="n"/>
      <c r="V19" s="60" t="n"/>
      <c r="W19" s="60" t="n"/>
      <c r="X19" s="60" t="n"/>
      <c r="Y19" s="60" t="n"/>
      <c r="Z19" s="61" t="n"/>
      <c r="AA19" s="60" t="n"/>
      <c r="AB19" s="60" t="n"/>
      <c r="AC19" s="60" t="n"/>
      <c r="AD19" s="60" t="n"/>
      <c r="AE19" s="63">
        <f>IF($G19="","",TODAY()-$G19)</f>
        <v/>
      </c>
      <c r="AF19" s="63">
        <f>IF($A19="","",IF($M19&gt;0,"Yes","No"))</f>
        <v/>
      </c>
      <c r="AG19" s="63">
        <f>IF($A19="","",IF(AND($E19="Yes",OR($AA19="No",$AA19="NOT FOUND")),"YES",""))</f>
        <v/>
      </c>
      <c r="AH19" s="66">
        <f>IF($A19="","",TRIM(IF(AND($Y19=0,$I19&lt;&gt;"Yes"),"T0-NoPhishResistant ","")&amp;IF($H19="No","NoMFA ","")&amp;IF(AND($Y19=0,$M19&gt;0),"T0-Standing ","")&amp;IF(AND($Y19=0,$S19="Group only"),"T0-ViaGroupOnly ","")&amp;IF($R19="Yes","BroadAzureScope ","")&amp;IF(AND($E19="Yes",$G19=""),"NeverSignedIn ","")))</f>
        <v/>
      </c>
      <c r="AI19" s="60" t="n"/>
      <c r="AJ19" s="61" t="n"/>
      <c r="AK19" s="60" t="n"/>
      <c r="AL19" s="62" t="n"/>
      <c r="AM19" s="62" t="n"/>
      <c r="AN19" s="62" t="n"/>
      <c r="AO19" s="60" t="n"/>
      <c r="AP19" s="61" t="n"/>
      <c r="AQ19" s="63">
        <f>IF($A19="","",IF(AM19="","Not Enrolled",IF(TODAY()&gt;AM19,"Review Overdue",IF(AM19-TODAY()&lt;=30,"Review Due Soon","Active"))))</f>
        <v/>
      </c>
      <c r="AR19" s="63">
        <f>IF($A19="","",IF(AN19="","NOT REVIEWED",IF(TODAY()-AN19&gt;90,"OVERDUE",IF(TODAY()-AN19&gt;76,"Due Soon","Current"))))</f>
        <v/>
      </c>
    </row>
    <row r="20" ht="15" customHeight="1" s="39">
      <c r="A20" s="61" t="n"/>
      <c r="B20" s="60" t="n"/>
      <c r="C20" s="61" t="n"/>
      <c r="D20" s="60" t="n"/>
      <c r="E20" s="60" t="n"/>
      <c r="F20" s="62" t="n"/>
      <c r="G20" s="62" t="n"/>
      <c r="H20" s="60" t="n"/>
      <c r="I20" s="60" t="n"/>
      <c r="J20" s="61" t="n"/>
      <c r="K20" s="61" t="n"/>
      <c r="L20" s="61" t="n"/>
      <c r="M20" s="60" t="n"/>
      <c r="N20" s="60" t="n"/>
      <c r="O20" s="60" t="n"/>
      <c r="P20" s="61" t="n"/>
      <c r="Q20" s="60" t="n"/>
      <c r="R20" s="60" t="n"/>
      <c r="S20" s="60" t="n"/>
      <c r="T20" s="61" t="n"/>
      <c r="U20" s="61" t="n"/>
      <c r="V20" s="60" t="n"/>
      <c r="W20" s="60" t="n"/>
      <c r="X20" s="60" t="n"/>
      <c r="Y20" s="60" t="n"/>
      <c r="Z20" s="61" t="n"/>
      <c r="AA20" s="60" t="n"/>
      <c r="AB20" s="60" t="n"/>
      <c r="AC20" s="60" t="n"/>
      <c r="AD20" s="60" t="n"/>
      <c r="AE20" s="63">
        <f>IF($G20="","",TODAY()-$G20)</f>
        <v/>
      </c>
      <c r="AF20" s="63">
        <f>IF($A20="","",IF($M20&gt;0,"Yes","No"))</f>
        <v/>
      </c>
      <c r="AG20" s="63">
        <f>IF($A20="","",IF(AND($E20="Yes",OR($AA20="No",$AA20="NOT FOUND")),"YES",""))</f>
        <v/>
      </c>
      <c r="AH20" s="66">
        <f>IF($A20="","",TRIM(IF(AND($Y20=0,$I20&lt;&gt;"Yes"),"T0-NoPhishResistant ","")&amp;IF($H20="No","NoMFA ","")&amp;IF(AND($Y20=0,$M20&gt;0),"T0-Standing ","")&amp;IF(AND($Y20=0,$S20="Group only"),"T0-ViaGroupOnly ","")&amp;IF($R20="Yes","BroadAzureScope ","")&amp;IF(AND($E20="Yes",$G20=""),"NeverSignedIn ","")))</f>
        <v/>
      </c>
      <c r="AI20" s="60" t="n"/>
      <c r="AJ20" s="61" t="n"/>
      <c r="AK20" s="60" t="n"/>
      <c r="AL20" s="62" t="n"/>
      <c r="AM20" s="62" t="n"/>
      <c r="AN20" s="62" t="n"/>
      <c r="AO20" s="60" t="n"/>
      <c r="AP20" s="61" t="n"/>
      <c r="AQ20" s="63">
        <f>IF($A20="","",IF(AM20="","Not Enrolled",IF(TODAY()&gt;AM20,"Review Overdue",IF(AM20-TODAY()&lt;=30,"Review Due Soon","Active"))))</f>
        <v/>
      </c>
      <c r="AR20" s="63">
        <f>IF($A20="","",IF(AN20="","NOT REVIEWED",IF(TODAY()-AN20&gt;90,"OVERDUE",IF(TODAY()-AN20&gt;76,"Due Soon","Current"))))</f>
        <v/>
      </c>
    </row>
    <row r="21" ht="15" customHeight="1" s="39">
      <c r="A21" s="61" t="n"/>
      <c r="B21" s="60" t="n"/>
      <c r="C21" s="61" t="n"/>
      <c r="D21" s="60" t="n"/>
      <c r="E21" s="60" t="n"/>
      <c r="F21" s="62" t="n"/>
      <c r="G21" s="62" t="n"/>
      <c r="H21" s="60" t="n"/>
      <c r="I21" s="60" t="n"/>
      <c r="J21" s="61" t="n"/>
      <c r="K21" s="61" t="n"/>
      <c r="L21" s="61" t="n"/>
      <c r="M21" s="60" t="n"/>
      <c r="N21" s="60" t="n"/>
      <c r="O21" s="60" t="n"/>
      <c r="P21" s="61" t="n"/>
      <c r="Q21" s="60" t="n"/>
      <c r="R21" s="60" t="n"/>
      <c r="S21" s="60" t="n"/>
      <c r="T21" s="61" t="n"/>
      <c r="U21" s="61" t="n"/>
      <c r="V21" s="60" t="n"/>
      <c r="W21" s="60" t="n"/>
      <c r="X21" s="60" t="n"/>
      <c r="Y21" s="60" t="n"/>
      <c r="Z21" s="61" t="n"/>
      <c r="AA21" s="60" t="n"/>
      <c r="AB21" s="60" t="n"/>
      <c r="AC21" s="60" t="n"/>
      <c r="AD21" s="60" t="n"/>
      <c r="AE21" s="63">
        <f>IF($G21="","",TODAY()-$G21)</f>
        <v/>
      </c>
      <c r="AF21" s="63">
        <f>IF($A21="","",IF($M21&gt;0,"Yes","No"))</f>
        <v/>
      </c>
      <c r="AG21" s="63">
        <f>IF($A21="","",IF(AND($E21="Yes",OR($AA21="No",$AA21="NOT FOUND")),"YES",""))</f>
        <v/>
      </c>
      <c r="AH21" s="66">
        <f>IF($A21="","",TRIM(IF(AND($Y21=0,$I21&lt;&gt;"Yes"),"T0-NoPhishResistant ","")&amp;IF($H21="No","NoMFA ","")&amp;IF(AND($Y21=0,$M21&gt;0),"T0-Standing ","")&amp;IF(AND($Y21=0,$S21="Group only"),"T0-ViaGroupOnly ","")&amp;IF($R21="Yes","BroadAzureScope ","")&amp;IF(AND($E21="Yes",$G21=""),"NeverSignedIn ","")))</f>
        <v/>
      </c>
      <c r="AI21" s="60" t="n"/>
      <c r="AJ21" s="61" t="n"/>
      <c r="AK21" s="60" t="n"/>
      <c r="AL21" s="62" t="n"/>
      <c r="AM21" s="62" t="n"/>
      <c r="AN21" s="62" t="n"/>
      <c r="AO21" s="60" t="n"/>
      <c r="AP21" s="61" t="n"/>
      <c r="AQ21" s="63">
        <f>IF($A21="","",IF(AM21="","Not Enrolled",IF(TODAY()&gt;AM21,"Review Overdue",IF(AM21-TODAY()&lt;=30,"Review Due Soon","Active"))))</f>
        <v/>
      </c>
      <c r="AR21" s="63">
        <f>IF($A21="","",IF(AN21="","NOT REVIEWED",IF(TODAY()-AN21&gt;90,"OVERDUE",IF(TODAY()-AN21&gt;76,"Due Soon","Current"))))</f>
        <v/>
      </c>
    </row>
    <row r="22" ht="15" customHeight="1" s="39">
      <c r="A22" s="61" t="n"/>
      <c r="B22" s="60" t="n"/>
      <c r="C22" s="61" t="n"/>
      <c r="D22" s="60" t="n"/>
      <c r="E22" s="60" t="n"/>
      <c r="F22" s="62" t="n"/>
      <c r="G22" s="62" t="n"/>
      <c r="H22" s="60" t="n"/>
      <c r="I22" s="60" t="n"/>
      <c r="J22" s="61" t="n"/>
      <c r="K22" s="61" t="n"/>
      <c r="L22" s="61" t="n"/>
      <c r="M22" s="60" t="n"/>
      <c r="N22" s="60" t="n"/>
      <c r="O22" s="60" t="n"/>
      <c r="P22" s="61" t="n"/>
      <c r="Q22" s="60" t="n"/>
      <c r="R22" s="60" t="n"/>
      <c r="S22" s="60" t="n"/>
      <c r="T22" s="61" t="n"/>
      <c r="U22" s="61" t="n"/>
      <c r="V22" s="60" t="n"/>
      <c r="W22" s="60" t="n"/>
      <c r="X22" s="60" t="n"/>
      <c r="Y22" s="60" t="n"/>
      <c r="Z22" s="61" t="n"/>
      <c r="AA22" s="60" t="n"/>
      <c r="AB22" s="60" t="n"/>
      <c r="AC22" s="60" t="n"/>
      <c r="AD22" s="60" t="n"/>
      <c r="AE22" s="63">
        <f>IF($G22="","",TODAY()-$G22)</f>
        <v/>
      </c>
      <c r="AF22" s="63">
        <f>IF($A22="","",IF($M22&gt;0,"Yes","No"))</f>
        <v/>
      </c>
      <c r="AG22" s="63">
        <f>IF($A22="","",IF(AND($E22="Yes",OR($AA22="No",$AA22="NOT FOUND")),"YES",""))</f>
        <v/>
      </c>
      <c r="AH22" s="66">
        <f>IF($A22="","",TRIM(IF(AND($Y22=0,$I22&lt;&gt;"Yes"),"T0-NoPhishResistant ","")&amp;IF($H22="No","NoMFA ","")&amp;IF(AND($Y22=0,$M22&gt;0),"T0-Standing ","")&amp;IF(AND($Y22=0,$S22="Group only"),"T0-ViaGroupOnly ","")&amp;IF($R22="Yes","BroadAzureScope ","")&amp;IF(AND($E22="Yes",$G22=""),"NeverSignedIn ","")))</f>
        <v/>
      </c>
      <c r="AI22" s="60" t="n"/>
      <c r="AJ22" s="61" t="n"/>
      <c r="AK22" s="60" t="n"/>
      <c r="AL22" s="62" t="n"/>
      <c r="AM22" s="62" t="n"/>
      <c r="AN22" s="62" t="n"/>
      <c r="AO22" s="60" t="n"/>
      <c r="AP22" s="61" t="n"/>
      <c r="AQ22" s="63">
        <f>IF($A22="","",IF(AM22="","Not Enrolled",IF(TODAY()&gt;AM22,"Review Overdue",IF(AM22-TODAY()&lt;=30,"Review Due Soon","Active"))))</f>
        <v/>
      </c>
      <c r="AR22" s="63">
        <f>IF($A22="","",IF(AN22="","NOT REVIEWED",IF(TODAY()-AN22&gt;90,"OVERDUE",IF(TODAY()-AN22&gt;76,"Due Soon","Current"))))</f>
        <v/>
      </c>
    </row>
    <row r="23" ht="15" customHeight="1" s="39">
      <c r="A23" s="61" t="n"/>
      <c r="B23" s="60" t="n"/>
      <c r="C23" s="61" t="n"/>
      <c r="D23" s="60" t="n"/>
      <c r="E23" s="60" t="n"/>
      <c r="F23" s="62" t="n"/>
      <c r="G23" s="62" t="n"/>
      <c r="H23" s="60" t="n"/>
      <c r="I23" s="60" t="n"/>
      <c r="J23" s="61" t="n"/>
      <c r="K23" s="61" t="n"/>
      <c r="L23" s="61" t="n"/>
      <c r="M23" s="60" t="n"/>
      <c r="N23" s="60" t="n"/>
      <c r="O23" s="60" t="n"/>
      <c r="P23" s="61" t="n"/>
      <c r="Q23" s="60" t="n"/>
      <c r="R23" s="60" t="n"/>
      <c r="S23" s="60" t="n"/>
      <c r="T23" s="61" t="n"/>
      <c r="U23" s="61" t="n"/>
      <c r="V23" s="60" t="n"/>
      <c r="W23" s="60" t="n"/>
      <c r="X23" s="60" t="n"/>
      <c r="Y23" s="60" t="n"/>
      <c r="Z23" s="61" t="n"/>
      <c r="AA23" s="60" t="n"/>
      <c r="AB23" s="60" t="n"/>
      <c r="AC23" s="60" t="n"/>
      <c r="AD23" s="60" t="n"/>
      <c r="AE23" s="63">
        <f>IF($G23="","",TODAY()-$G23)</f>
        <v/>
      </c>
      <c r="AF23" s="63">
        <f>IF($A23="","",IF($M23&gt;0,"Yes","No"))</f>
        <v/>
      </c>
      <c r="AG23" s="63">
        <f>IF($A23="","",IF(AND($E23="Yes",OR($AA23="No",$AA23="NOT FOUND")),"YES",""))</f>
        <v/>
      </c>
      <c r="AH23" s="66">
        <f>IF($A23="","",TRIM(IF(AND($Y23=0,$I23&lt;&gt;"Yes"),"T0-NoPhishResistant ","")&amp;IF($H23="No","NoMFA ","")&amp;IF(AND($Y23=0,$M23&gt;0),"T0-Standing ","")&amp;IF(AND($Y23=0,$S23="Group only"),"T0-ViaGroupOnly ","")&amp;IF($R23="Yes","BroadAzureScope ","")&amp;IF(AND($E23="Yes",$G23=""),"NeverSignedIn ","")))</f>
        <v/>
      </c>
      <c r="AI23" s="60" t="n"/>
      <c r="AJ23" s="61" t="n"/>
      <c r="AK23" s="60" t="n"/>
      <c r="AL23" s="62" t="n"/>
      <c r="AM23" s="62" t="n"/>
      <c r="AN23" s="62" t="n"/>
      <c r="AO23" s="60" t="n"/>
      <c r="AP23" s="61" t="n"/>
      <c r="AQ23" s="63">
        <f>IF($A23="","",IF(AM23="","Not Enrolled",IF(TODAY()&gt;AM23,"Review Overdue",IF(AM23-TODAY()&lt;=30,"Review Due Soon","Active"))))</f>
        <v/>
      </c>
      <c r="AR23" s="63">
        <f>IF($A23="","",IF(AN23="","NOT REVIEWED",IF(TODAY()-AN23&gt;90,"OVERDUE",IF(TODAY()-AN23&gt;76,"Due Soon","Current"))))</f>
        <v/>
      </c>
    </row>
    <row r="24" ht="15" customHeight="1" s="39">
      <c r="A24" s="61" t="n"/>
      <c r="B24" s="60" t="n"/>
      <c r="C24" s="61" t="n"/>
      <c r="D24" s="60" t="n"/>
      <c r="E24" s="60" t="n"/>
      <c r="F24" s="62" t="n"/>
      <c r="G24" s="62" t="n"/>
      <c r="H24" s="60" t="n"/>
      <c r="I24" s="60" t="n"/>
      <c r="J24" s="61" t="n"/>
      <c r="K24" s="61" t="n"/>
      <c r="L24" s="61" t="n"/>
      <c r="M24" s="60" t="n"/>
      <c r="N24" s="60" t="n"/>
      <c r="O24" s="60" t="n"/>
      <c r="P24" s="61" t="n"/>
      <c r="Q24" s="60" t="n"/>
      <c r="R24" s="60" t="n"/>
      <c r="S24" s="60" t="n"/>
      <c r="T24" s="61" t="n"/>
      <c r="U24" s="61" t="n"/>
      <c r="V24" s="60" t="n"/>
      <c r="W24" s="60" t="n"/>
      <c r="X24" s="60" t="n"/>
      <c r="Y24" s="60" t="n"/>
      <c r="Z24" s="61" t="n"/>
      <c r="AA24" s="60" t="n"/>
      <c r="AB24" s="60" t="n"/>
      <c r="AC24" s="60" t="n"/>
      <c r="AD24" s="60" t="n"/>
      <c r="AE24" s="63">
        <f>IF($G24="","",TODAY()-$G24)</f>
        <v/>
      </c>
      <c r="AF24" s="63">
        <f>IF($A24="","",IF($M24&gt;0,"Yes","No"))</f>
        <v/>
      </c>
      <c r="AG24" s="63">
        <f>IF($A24="","",IF(AND($E24="Yes",OR($AA24="No",$AA24="NOT FOUND")),"YES",""))</f>
        <v/>
      </c>
      <c r="AH24" s="66">
        <f>IF($A24="","",TRIM(IF(AND($Y24=0,$I24&lt;&gt;"Yes"),"T0-NoPhishResistant ","")&amp;IF($H24="No","NoMFA ","")&amp;IF(AND($Y24=0,$M24&gt;0),"T0-Standing ","")&amp;IF(AND($Y24=0,$S24="Group only"),"T0-ViaGroupOnly ","")&amp;IF($R24="Yes","BroadAzureScope ","")&amp;IF(AND($E24="Yes",$G24=""),"NeverSignedIn ","")))</f>
        <v/>
      </c>
      <c r="AI24" s="60" t="n"/>
      <c r="AJ24" s="61" t="n"/>
      <c r="AK24" s="60" t="n"/>
      <c r="AL24" s="62" t="n"/>
      <c r="AM24" s="62" t="n"/>
      <c r="AN24" s="62" t="n"/>
      <c r="AO24" s="60" t="n"/>
      <c r="AP24" s="61" t="n"/>
      <c r="AQ24" s="63">
        <f>IF($A24="","",IF(AM24="","Not Enrolled",IF(TODAY()&gt;AM24,"Review Overdue",IF(AM24-TODAY()&lt;=30,"Review Due Soon","Active"))))</f>
        <v/>
      </c>
      <c r="AR24" s="63">
        <f>IF($A24="","",IF(AN24="","NOT REVIEWED",IF(TODAY()-AN24&gt;90,"OVERDUE",IF(TODAY()-AN24&gt;76,"Due Soon","Current"))))</f>
        <v/>
      </c>
    </row>
    <row r="25" ht="15" customHeight="1" s="39">
      <c r="A25" s="61" t="n"/>
      <c r="B25" s="60" t="n"/>
      <c r="C25" s="61" t="n"/>
      <c r="D25" s="60" t="n"/>
      <c r="E25" s="60" t="n"/>
      <c r="F25" s="62" t="n"/>
      <c r="G25" s="62" t="n"/>
      <c r="H25" s="60" t="n"/>
      <c r="I25" s="60" t="n"/>
      <c r="J25" s="61" t="n"/>
      <c r="K25" s="61" t="n"/>
      <c r="L25" s="61" t="n"/>
      <c r="M25" s="60" t="n"/>
      <c r="N25" s="60" t="n"/>
      <c r="O25" s="60" t="n"/>
      <c r="P25" s="61" t="n"/>
      <c r="Q25" s="60" t="n"/>
      <c r="R25" s="60" t="n"/>
      <c r="S25" s="60" t="n"/>
      <c r="T25" s="61" t="n"/>
      <c r="U25" s="61" t="n"/>
      <c r="V25" s="60" t="n"/>
      <c r="W25" s="60" t="n"/>
      <c r="X25" s="60" t="n"/>
      <c r="Y25" s="60" t="n"/>
      <c r="Z25" s="61" t="n"/>
      <c r="AA25" s="60" t="n"/>
      <c r="AB25" s="60" t="n"/>
      <c r="AC25" s="60" t="n"/>
      <c r="AD25" s="60" t="n"/>
      <c r="AE25" s="63">
        <f>IF($G25="","",TODAY()-$G25)</f>
        <v/>
      </c>
      <c r="AF25" s="63">
        <f>IF($A25="","",IF($M25&gt;0,"Yes","No"))</f>
        <v/>
      </c>
      <c r="AG25" s="63">
        <f>IF($A25="","",IF(AND($E25="Yes",OR($AA25="No",$AA25="NOT FOUND")),"YES",""))</f>
        <v/>
      </c>
      <c r="AH25" s="66">
        <f>IF($A25="","",TRIM(IF(AND($Y25=0,$I25&lt;&gt;"Yes"),"T0-NoPhishResistant ","")&amp;IF($H25="No","NoMFA ","")&amp;IF(AND($Y25=0,$M25&gt;0),"T0-Standing ","")&amp;IF(AND($Y25=0,$S25="Group only"),"T0-ViaGroupOnly ","")&amp;IF($R25="Yes","BroadAzureScope ","")&amp;IF(AND($E25="Yes",$G25=""),"NeverSignedIn ","")))</f>
        <v/>
      </c>
      <c r="AI25" s="60" t="n"/>
      <c r="AJ25" s="61" t="n"/>
      <c r="AK25" s="60" t="n"/>
      <c r="AL25" s="62" t="n"/>
      <c r="AM25" s="62" t="n"/>
      <c r="AN25" s="62" t="n"/>
      <c r="AO25" s="60" t="n"/>
      <c r="AP25" s="61" t="n"/>
      <c r="AQ25" s="63">
        <f>IF($A25="","",IF(AM25="","Not Enrolled",IF(TODAY()&gt;AM25,"Review Overdue",IF(AM25-TODAY()&lt;=30,"Review Due Soon","Active"))))</f>
        <v/>
      </c>
      <c r="AR25" s="63">
        <f>IF($A25="","",IF(AN25="","NOT REVIEWED",IF(TODAY()-AN25&gt;90,"OVERDUE",IF(TODAY()-AN25&gt;76,"Due Soon","Current"))))</f>
        <v/>
      </c>
    </row>
    <row r="26" ht="15" customHeight="1" s="39">
      <c r="A26" s="61" t="n"/>
      <c r="B26" s="60" t="n"/>
      <c r="C26" s="61" t="n"/>
      <c r="D26" s="60" t="n"/>
      <c r="E26" s="60" t="n"/>
      <c r="F26" s="62" t="n"/>
      <c r="G26" s="62" t="n"/>
      <c r="H26" s="60" t="n"/>
      <c r="I26" s="60" t="n"/>
      <c r="J26" s="61" t="n"/>
      <c r="K26" s="61" t="n"/>
      <c r="L26" s="61" t="n"/>
      <c r="M26" s="60" t="n"/>
      <c r="N26" s="60" t="n"/>
      <c r="O26" s="60" t="n"/>
      <c r="P26" s="61" t="n"/>
      <c r="Q26" s="60" t="n"/>
      <c r="R26" s="60" t="n"/>
      <c r="S26" s="60" t="n"/>
      <c r="T26" s="61" t="n"/>
      <c r="U26" s="61" t="n"/>
      <c r="V26" s="60" t="n"/>
      <c r="W26" s="60" t="n"/>
      <c r="X26" s="60" t="n"/>
      <c r="Y26" s="60" t="n"/>
      <c r="Z26" s="61" t="n"/>
      <c r="AA26" s="60" t="n"/>
      <c r="AB26" s="60" t="n"/>
      <c r="AC26" s="60" t="n"/>
      <c r="AD26" s="60" t="n"/>
      <c r="AE26" s="63">
        <f>IF($G26="","",TODAY()-$G26)</f>
        <v/>
      </c>
      <c r="AF26" s="63">
        <f>IF($A26="","",IF($M26&gt;0,"Yes","No"))</f>
        <v/>
      </c>
      <c r="AG26" s="63">
        <f>IF($A26="","",IF(AND($E26="Yes",OR($AA26="No",$AA26="NOT FOUND")),"YES",""))</f>
        <v/>
      </c>
      <c r="AH26" s="66">
        <f>IF($A26="","",TRIM(IF(AND($Y26=0,$I26&lt;&gt;"Yes"),"T0-NoPhishResistant ","")&amp;IF($H26="No","NoMFA ","")&amp;IF(AND($Y26=0,$M26&gt;0),"T0-Standing ","")&amp;IF(AND($Y26=0,$S26="Group only"),"T0-ViaGroupOnly ","")&amp;IF($R26="Yes","BroadAzureScope ","")&amp;IF(AND($E26="Yes",$G26=""),"NeverSignedIn ","")))</f>
        <v/>
      </c>
      <c r="AI26" s="60" t="n"/>
      <c r="AJ26" s="61" t="n"/>
      <c r="AK26" s="60" t="n"/>
      <c r="AL26" s="62" t="n"/>
      <c r="AM26" s="62" t="n"/>
      <c r="AN26" s="62" t="n"/>
      <c r="AO26" s="60" t="n"/>
      <c r="AP26" s="61" t="n"/>
      <c r="AQ26" s="63">
        <f>IF($A26="","",IF(AM26="","Not Enrolled",IF(TODAY()&gt;AM26,"Review Overdue",IF(AM26-TODAY()&lt;=30,"Review Due Soon","Active"))))</f>
        <v/>
      </c>
      <c r="AR26" s="63">
        <f>IF($A26="","",IF(AN26="","NOT REVIEWED",IF(TODAY()-AN26&gt;90,"OVERDUE",IF(TODAY()-AN26&gt;76,"Due Soon","Current"))))</f>
        <v/>
      </c>
    </row>
    <row r="27" ht="15" customHeight="1" s="39">
      <c r="A27" s="61" t="n"/>
      <c r="B27" s="60" t="n"/>
      <c r="C27" s="61" t="n"/>
      <c r="D27" s="60" t="n"/>
      <c r="E27" s="60" t="n"/>
      <c r="F27" s="62" t="n"/>
      <c r="G27" s="62" t="n"/>
      <c r="H27" s="60" t="n"/>
      <c r="I27" s="60" t="n"/>
      <c r="J27" s="61" t="n"/>
      <c r="K27" s="61" t="n"/>
      <c r="L27" s="61" t="n"/>
      <c r="M27" s="60" t="n"/>
      <c r="N27" s="60" t="n"/>
      <c r="O27" s="60" t="n"/>
      <c r="P27" s="61" t="n"/>
      <c r="Q27" s="60" t="n"/>
      <c r="R27" s="60" t="n"/>
      <c r="S27" s="60" t="n"/>
      <c r="T27" s="61" t="n"/>
      <c r="U27" s="61" t="n"/>
      <c r="V27" s="60" t="n"/>
      <c r="W27" s="60" t="n"/>
      <c r="X27" s="60" t="n"/>
      <c r="Y27" s="60" t="n"/>
      <c r="Z27" s="61" t="n"/>
      <c r="AA27" s="60" t="n"/>
      <c r="AB27" s="60" t="n"/>
      <c r="AC27" s="60" t="n"/>
      <c r="AD27" s="60" t="n"/>
      <c r="AE27" s="63">
        <f>IF($G27="","",TODAY()-$G27)</f>
        <v/>
      </c>
      <c r="AF27" s="63">
        <f>IF($A27="","",IF($M27&gt;0,"Yes","No"))</f>
        <v/>
      </c>
      <c r="AG27" s="63">
        <f>IF($A27="","",IF(AND($E27="Yes",OR($AA27="No",$AA27="NOT FOUND")),"YES",""))</f>
        <v/>
      </c>
      <c r="AH27" s="66">
        <f>IF($A27="","",TRIM(IF(AND($Y27=0,$I27&lt;&gt;"Yes"),"T0-NoPhishResistant ","")&amp;IF($H27="No","NoMFA ","")&amp;IF(AND($Y27=0,$M27&gt;0),"T0-Standing ","")&amp;IF(AND($Y27=0,$S27="Group only"),"T0-ViaGroupOnly ","")&amp;IF($R27="Yes","BroadAzureScope ","")&amp;IF(AND($E27="Yes",$G27=""),"NeverSignedIn ","")))</f>
        <v/>
      </c>
      <c r="AI27" s="60" t="n"/>
      <c r="AJ27" s="61" t="n"/>
      <c r="AK27" s="60" t="n"/>
      <c r="AL27" s="62" t="n"/>
      <c r="AM27" s="62" t="n"/>
      <c r="AN27" s="62" t="n"/>
      <c r="AO27" s="60" t="n"/>
      <c r="AP27" s="61" t="n"/>
      <c r="AQ27" s="63">
        <f>IF($A27="","",IF(AM27="","Not Enrolled",IF(TODAY()&gt;AM27,"Review Overdue",IF(AM27-TODAY()&lt;=30,"Review Due Soon","Active"))))</f>
        <v/>
      </c>
      <c r="AR27" s="63">
        <f>IF($A27="","",IF(AN27="","NOT REVIEWED",IF(TODAY()-AN27&gt;90,"OVERDUE",IF(TODAY()-AN27&gt;76,"Due Soon","Current"))))</f>
        <v/>
      </c>
    </row>
    <row r="28" ht="15" customHeight="1" s="39">
      <c r="A28" s="61" t="n"/>
      <c r="B28" s="60" t="n"/>
      <c r="C28" s="61" t="n"/>
      <c r="D28" s="60" t="n"/>
      <c r="E28" s="60" t="n"/>
      <c r="F28" s="62" t="n"/>
      <c r="G28" s="62" t="n"/>
      <c r="H28" s="60" t="n"/>
      <c r="I28" s="60" t="n"/>
      <c r="J28" s="61" t="n"/>
      <c r="K28" s="61" t="n"/>
      <c r="L28" s="61" t="n"/>
      <c r="M28" s="60" t="n"/>
      <c r="N28" s="60" t="n"/>
      <c r="O28" s="60" t="n"/>
      <c r="P28" s="61" t="n"/>
      <c r="Q28" s="60" t="n"/>
      <c r="R28" s="60" t="n"/>
      <c r="S28" s="60" t="n"/>
      <c r="T28" s="61" t="n"/>
      <c r="U28" s="61" t="n"/>
      <c r="V28" s="60" t="n"/>
      <c r="W28" s="60" t="n"/>
      <c r="X28" s="60" t="n"/>
      <c r="Y28" s="60" t="n"/>
      <c r="Z28" s="61" t="n"/>
      <c r="AA28" s="60" t="n"/>
      <c r="AB28" s="60" t="n"/>
      <c r="AC28" s="60" t="n"/>
      <c r="AD28" s="60" t="n"/>
      <c r="AE28" s="63">
        <f>IF($G28="","",TODAY()-$G28)</f>
        <v/>
      </c>
      <c r="AF28" s="63">
        <f>IF($A28="","",IF($M28&gt;0,"Yes","No"))</f>
        <v/>
      </c>
      <c r="AG28" s="63">
        <f>IF($A28="","",IF(AND($E28="Yes",OR($AA28="No",$AA28="NOT FOUND")),"YES",""))</f>
        <v/>
      </c>
      <c r="AH28" s="66">
        <f>IF($A28="","",TRIM(IF(AND($Y28=0,$I28&lt;&gt;"Yes"),"T0-NoPhishResistant ","")&amp;IF($H28="No","NoMFA ","")&amp;IF(AND($Y28=0,$M28&gt;0),"T0-Standing ","")&amp;IF(AND($Y28=0,$S28="Group only"),"T0-ViaGroupOnly ","")&amp;IF($R28="Yes","BroadAzureScope ","")&amp;IF(AND($E28="Yes",$G28=""),"NeverSignedIn ","")))</f>
        <v/>
      </c>
      <c r="AI28" s="60" t="n"/>
      <c r="AJ28" s="61" t="n"/>
      <c r="AK28" s="60" t="n"/>
      <c r="AL28" s="62" t="n"/>
      <c r="AM28" s="62" t="n"/>
      <c r="AN28" s="62" t="n"/>
      <c r="AO28" s="60" t="n"/>
      <c r="AP28" s="61" t="n"/>
      <c r="AQ28" s="63">
        <f>IF($A28="","",IF(AM28="","Not Enrolled",IF(TODAY()&gt;AM28,"Review Overdue",IF(AM28-TODAY()&lt;=30,"Review Due Soon","Active"))))</f>
        <v/>
      </c>
      <c r="AR28" s="63">
        <f>IF($A28="","",IF(AN28="","NOT REVIEWED",IF(TODAY()-AN28&gt;90,"OVERDUE",IF(TODAY()-AN28&gt;76,"Due Soon","Current"))))</f>
        <v/>
      </c>
    </row>
    <row r="29" ht="15" customHeight="1" s="39">
      <c r="A29" s="61" t="n"/>
      <c r="B29" s="60" t="n"/>
      <c r="C29" s="61" t="n"/>
      <c r="D29" s="60" t="n"/>
      <c r="E29" s="60" t="n"/>
      <c r="F29" s="62" t="n"/>
      <c r="G29" s="62" t="n"/>
      <c r="H29" s="60" t="n"/>
      <c r="I29" s="60" t="n"/>
      <c r="J29" s="61" t="n"/>
      <c r="K29" s="61" t="n"/>
      <c r="L29" s="61" t="n"/>
      <c r="M29" s="60" t="n"/>
      <c r="N29" s="60" t="n"/>
      <c r="O29" s="60" t="n"/>
      <c r="P29" s="61" t="n"/>
      <c r="Q29" s="60" t="n"/>
      <c r="R29" s="60" t="n"/>
      <c r="S29" s="60" t="n"/>
      <c r="T29" s="61" t="n"/>
      <c r="U29" s="61" t="n"/>
      <c r="V29" s="60" t="n"/>
      <c r="W29" s="60" t="n"/>
      <c r="X29" s="60" t="n"/>
      <c r="Y29" s="60" t="n"/>
      <c r="Z29" s="61" t="n"/>
      <c r="AA29" s="60" t="n"/>
      <c r="AB29" s="60" t="n"/>
      <c r="AC29" s="60" t="n"/>
      <c r="AD29" s="60" t="n"/>
      <c r="AE29" s="63">
        <f>IF($G29="","",TODAY()-$G29)</f>
        <v/>
      </c>
      <c r="AF29" s="63">
        <f>IF($A29="","",IF($M29&gt;0,"Yes","No"))</f>
        <v/>
      </c>
      <c r="AG29" s="63">
        <f>IF($A29="","",IF(AND($E29="Yes",OR($AA29="No",$AA29="NOT FOUND")),"YES",""))</f>
        <v/>
      </c>
      <c r="AH29" s="66">
        <f>IF($A29="","",TRIM(IF(AND($Y29=0,$I29&lt;&gt;"Yes"),"T0-NoPhishResistant ","")&amp;IF($H29="No","NoMFA ","")&amp;IF(AND($Y29=0,$M29&gt;0),"T0-Standing ","")&amp;IF(AND($Y29=0,$S29="Group only"),"T0-ViaGroupOnly ","")&amp;IF($R29="Yes","BroadAzureScope ","")&amp;IF(AND($E29="Yes",$G29=""),"NeverSignedIn ","")))</f>
        <v/>
      </c>
      <c r="AI29" s="60" t="n"/>
      <c r="AJ29" s="61" t="n"/>
      <c r="AK29" s="60" t="n"/>
      <c r="AL29" s="62" t="n"/>
      <c r="AM29" s="62" t="n"/>
      <c r="AN29" s="62" t="n"/>
      <c r="AO29" s="60" t="n"/>
      <c r="AP29" s="61" t="n"/>
      <c r="AQ29" s="63">
        <f>IF($A29="","",IF(AM29="","Not Enrolled",IF(TODAY()&gt;AM29,"Review Overdue",IF(AM29-TODAY()&lt;=30,"Review Due Soon","Active"))))</f>
        <v/>
      </c>
      <c r="AR29" s="63">
        <f>IF($A29="","",IF(AN29="","NOT REVIEWED",IF(TODAY()-AN29&gt;90,"OVERDUE",IF(TODAY()-AN29&gt;76,"Due Soon","Current"))))</f>
        <v/>
      </c>
    </row>
    <row r="30" ht="15" customHeight="1" s="39">
      <c r="A30" s="61" t="n"/>
      <c r="B30" s="60" t="n"/>
      <c r="C30" s="61" t="n"/>
      <c r="D30" s="60" t="n"/>
      <c r="E30" s="60" t="n"/>
      <c r="F30" s="62" t="n"/>
      <c r="G30" s="62" t="n"/>
      <c r="H30" s="60" t="n"/>
      <c r="I30" s="60" t="n"/>
      <c r="J30" s="61" t="n"/>
      <c r="K30" s="61" t="n"/>
      <c r="L30" s="61" t="n"/>
      <c r="M30" s="60" t="n"/>
      <c r="N30" s="60" t="n"/>
      <c r="O30" s="60" t="n"/>
      <c r="P30" s="61" t="n"/>
      <c r="Q30" s="60" t="n"/>
      <c r="R30" s="60" t="n"/>
      <c r="S30" s="60" t="n"/>
      <c r="T30" s="61" t="n"/>
      <c r="U30" s="61" t="n"/>
      <c r="V30" s="60" t="n"/>
      <c r="W30" s="60" t="n"/>
      <c r="X30" s="60" t="n"/>
      <c r="Y30" s="60" t="n"/>
      <c r="Z30" s="61" t="n"/>
      <c r="AA30" s="60" t="n"/>
      <c r="AB30" s="60" t="n"/>
      <c r="AC30" s="60" t="n"/>
      <c r="AD30" s="60" t="n"/>
      <c r="AE30" s="63">
        <f>IF($G30="","",TODAY()-$G30)</f>
        <v/>
      </c>
      <c r="AF30" s="63">
        <f>IF($A30="","",IF($M30&gt;0,"Yes","No"))</f>
        <v/>
      </c>
      <c r="AG30" s="63">
        <f>IF($A30="","",IF(AND($E30="Yes",OR($AA30="No",$AA30="NOT FOUND")),"YES",""))</f>
        <v/>
      </c>
      <c r="AH30" s="66">
        <f>IF($A30="","",TRIM(IF(AND($Y30=0,$I30&lt;&gt;"Yes"),"T0-NoPhishResistant ","")&amp;IF($H30="No","NoMFA ","")&amp;IF(AND($Y30=0,$M30&gt;0),"T0-Standing ","")&amp;IF(AND($Y30=0,$S30="Group only"),"T0-ViaGroupOnly ","")&amp;IF($R30="Yes","BroadAzureScope ","")&amp;IF(AND($E30="Yes",$G30=""),"NeverSignedIn ","")))</f>
        <v/>
      </c>
      <c r="AI30" s="60" t="n"/>
      <c r="AJ30" s="61" t="n"/>
      <c r="AK30" s="60" t="n"/>
      <c r="AL30" s="62" t="n"/>
      <c r="AM30" s="62" t="n"/>
      <c r="AN30" s="62" t="n"/>
      <c r="AO30" s="60" t="n"/>
      <c r="AP30" s="61" t="n"/>
      <c r="AQ30" s="63">
        <f>IF($A30="","",IF(AM30="","Not Enrolled",IF(TODAY()&gt;AM30,"Review Overdue",IF(AM30-TODAY()&lt;=30,"Review Due Soon","Active"))))</f>
        <v/>
      </c>
      <c r="AR30" s="63">
        <f>IF($A30="","",IF(AN30="","NOT REVIEWED",IF(TODAY()-AN30&gt;90,"OVERDUE",IF(TODAY()-AN30&gt;76,"Due Soon","Current"))))</f>
        <v/>
      </c>
    </row>
    <row r="31" ht="15" customHeight="1" s="39">
      <c r="A31" s="61" t="n"/>
      <c r="B31" s="60" t="n"/>
      <c r="C31" s="61" t="n"/>
      <c r="D31" s="60" t="n"/>
      <c r="E31" s="60" t="n"/>
      <c r="F31" s="62" t="n"/>
      <c r="G31" s="62" t="n"/>
      <c r="H31" s="60" t="n"/>
      <c r="I31" s="60" t="n"/>
      <c r="J31" s="61" t="n"/>
      <c r="K31" s="61" t="n"/>
      <c r="L31" s="61" t="n"/>
      <c r="M31" s="60" t="n"/>
      <c r="N31" s="60" t="n"/>
      <c r="O31" s="60" t="n"/>
      <c r="P31" s="61" t="n"/>
      <c r="Q31" s="60" t="n"/>
      <c r="R31" s="60" t="n"/>
      <c r="S31" s="60" t="n"/>
      <c r="T31" s="61" t="n"/>
      <c r="U31" s="61" t="n"/>
      <c r="V31" s="60" t="n"/>
      <c r="W31" s="60" t="n"/>
      <c r="X31" s="60" t="n"/>
      <c r="Y31" s="60" t="n"/>
      <c r="Z31" s="61" t="n"/>
      <c r="AA31" s="60" t="n"/>
      <c r="AB31" s="60" t="n"/>
      <c r="AC31" s="60" t="n"/>
      <c r="AD31" s="60" t="n"/>
      <c r="AE31" s="63">
        <f>IF($G31="","",TODAY()-$G31)</f>
        <v/>
      </c>
      <c r="AF31" s="63">
        <f>IF($A31="","",IF($M31&gt;0,"Yes","No"))</f>
        <v/>
      </c>
      <c r="AG31" s="63">
        <f>IF($A31="","",IF(AND($E31="Yes",OR($AA31="No",$AA31="NOT FOUND")),"YES",""))</f>
        <v/>
      </c>
      <c r="AH31" s="66">
        <f>IF($A31="","",TRIM(IF(AND($Y31=0,$I31&lt;&gt;"Yes"),"T0-NoPhishResistant ","")&amp;IF($H31="No","NoMFA ","")&amp;IF(AND($Y31=0,$M31&gt;0),"T0-Standing ","")&amp;IF(AND($Y31=0,$S31="Group only"),"T0-ViaGroupOnly ","")&amp;IF($R31="Yes","BroadAzureScope ","")&amp;IF(AND($E31="Yes",$G31=""),"NeverSignedIn ","")))</f>
        <v/>
      </c>
      <c r="AI31" s="60" t="n"/>
      <c r="AJ31" s="61" t="n"/>
      <c r="AK31" s="60" t="n"/>
      <c r="AL31" s="62" t="n"/>
      <c r="AM31" s="62" t="n"/>
      <c r="AN31" s="62" t="n"/>
      <c r="AO31" s="60" t="n"/>
      <c r="AP31" s="61" t="n"/>
      <c r="AQ31" s="63">
        <f>IF($A31="","",IF(AM31="","Not Enrolled",IF(TODAY()&gt;AM31,"Review Overdue",IF(AM31-TODAY()&lt;=30,"Review Due Soon","Active"))))</f>
        <v/>
      </c>
      <c r="AR31" s="63">
        <f>IF($A31="","",IF(AN31="","NOT REVIEWED",IF(TODAY()-AN31&gt;90,"OVERDUE",IF(TODAY()-AN31&gt;76,"Due Soon","Current"))))</f>
        <v/>
      </c>
    </row>
    <row r="32" ht="15" customHeight="1" s="39">
      <c r="A32" s="61" t="n"/>
      <c r="B32" s="60" t="n"/>
      <c r="C32" s="61" t="n"/>
      <c r="D32" s="60" t="n"/>
      <c r="E32" s="60" t="n"/>
      <c r="F32" s="62" t="n"/>
      <c r="G32" s="62" t="n"/>
      <c r="H32" s="60" t="n"/>
      <c r="I32" s="60" t="n"/>
      <c r="J32" s="61" t="n"/>
      <c r="K32" s="61" t="n"/>
      <c r="L32" s="61" t="n"/>
      <c r="M32" s="60" t="n"/>
      <c r="N32" s="60" t="n"/>
      <c r="O32" s="60" t="n"/>
      <c r="P32" s="61" t="n"/>
      <c r="Q32" s="60" t="n"/>
      <c r="R32" s="60" t="n"/>
      <c r="S32" s="60" t="n"/>
      <c r="T32" s="61" t="n"/>
      <c r="U32" s="61" t="n"/>
      <c r="V32" s="60" t="n"/>
      <c r="W32" s="60" t="n"/>
      <c r="X32" s="60" t="n"/>
      <c r="Y32" s="60" t="n"/>
      <c r="Z32" s="61" t="n"/>
      <c r="AA32" s="60" t="n"/>
      <c r="AB32" s="60" t="n"/>
      <c r="AC32" s="60" t="n"/>
      <c r="AD32" s="60" t="n"/>
      <c r="AE32" s="63">
        <f>IF($G32="","",TODAY()-$G32)</f>
        <v/>
      </c>
      <c r="AF32" s="63">
        <f>IF($A32="","",IF($M32&gt;0,"Yes","No"))</f>
        <v/>
      </c>
      <c r="AG32" s="63">
        <f>IF($A32="","",IF(AND($E32="Yes",OR($AA32="No",$AA32="NOT FOUND")),"YES",""))</f>
        <v/>
      </c>
      <c r="AH32" s="66">
        <f>IF($A32="","",TRIM(IF(AND($Y32=0,$I32&lt;&gt;"Yes"),"T0-NoPhishResistant ","")&amp;IF($H32="No","NoMFA ","")&amp;IF(AND($Y32=0,$M32&gt;0),"T0-Standing ","")&amp;IF(AND($Y32=0,$S32="Group only"),"T0-ViaGroupOnly ","")&amp;IF($R32="Yes","BroadAzureScope ","")&amp;IF(AND($E32="Yes",$G32=""),"NeverSignedIn ","")))</f>
        <v/>
      </c>
      <c r="AI32" s="60" t="n"/>
      <c r="AJ32" s="61" t="n"/>
      <c r="AK32" s="60" t="n"/>
      <c r="AL32" s="62" t="n"/>
      <c r="AM32" s="62" t="n"/>
      <c r="AN32" s="62" t="n"/>
      <c r="AO32" s="60" t="n"/>
      <c r="AP32" s="61" t="n"/>
      <c r="AQ32" s="63">
        <f>IF($A32="","",IF(AM32="","Not Enrolled",IF(TODAY()&gt;AM32,"Review Overdue",IF(AM32-TODAY()&lt;=30,"Review Due Soon","Active"))))</f>
        <v/>
      </c>
      <c r="AR32" s="63">
        <f>IF($A32="","",IF(AN32="","NOT REVIEWED",IF(TODAY()-AN32&gt;90,"OVERDUE",IF(TODAY()-AN32&gt;76,"Due Soon","Current"))))</f>
        <v/>
      </c>
    </row>
    <row r="33" ht="15" customHeight="1" s="39">
      <c r="A33" s="61" t="n"/>
      <c r="B33" s="60" t="n"/>
      <c r="C33" s="61" t="n"/>
      <c r="D33" s="60" t="n"/>
      <c r="E33" s="60" t="n"/>
      <c r="F33" s="62" t="n"/>
      <c r="G33" s="62" t="n"/>
      <c r="H33" s="60" t="n"/>
      <c r="I33" s="60" t="n"/>
      <c r="J33" s="61" t="n"/>
      <c r="K33" s="61" t="n"/>
      <c r="L33" s="61" t="n"/>
      <c r="M33" s="60" t="n"/>
      <c r="N33" s="60" t="n"/>
      <c r="O33" s="60" t="n"/>
      <c r="P33" s="61" t="n"/>
      <c r="Q33" s="60" t="n"/>
      <c r="R33" s="60" t="n"/>
      <c r="S33" s="60" t="n"/>
      <c r="T33" s="61" t="n"/>
      <c r="U33" s="61" t="n"/>
      <c r="V33" s="60" t="n"/>
      <c r="W33" s="60" t="n"/>
      <c r="X33" s="60" t="n"/>
      <c r="Y33" s="60" t="n"/>
      <c r="Z33" s="61" t="n"/>
      <c r="AA33" s="60" t="n"/>
      <c r="AB33" s="60" t="n"/>
      <c r="AC33" s="60" t="n"/>
      <c r="AD33" s="60" t="n"/>
      <c r="AE33" s="63">
        <f>IF($G33="","",TODAY()-$G33)</f>
        <v/>
      </c>
      <c r="AF33" s="63">
        <f>IF($A33="","",IF($M33&gt;0,"Yes","No"))</f>
        <v/>
      </c>
      <c r="AG33" s="63">
        <f>IF($A33="","",IF(AND($E33="Yes",OR($AA33="No",$AA33="NOT FOUND")),"YES",""))</f>
        <v/>
      </c>
      <c r="AH33" s="66">
        <f>IF($A33="","",TRIM(IF(AND($Y33=0,$I33&lt;&gt;"Yes"),"T0-NoPhishResistant ","")&amp;IF($H33="No","NoMFA ","")&amp;IF(AND($Y33=0,$M33&gt;0),"T0-Standing ","")&amp;IF(AND($Y33=0,$S33="Group only"),"T0-ViaGroupOnly ","")&amp;IF($R33="Yes","BroadAzureScope ","")&amp;IF(AND($E33="Yes",$G33=""),"NeverSignedIn ","")))</f>
        <v/>
      </c>
      <c r="AI33" s="60" t="n"/>
      <c r="AJ33" s="61" t="n"/>
      <c r="AK33" s="60" t="n"/>
      <c r="AL33" s="62" t="n"/>
      <c r="AM33" s="62" t="n"/>
      <c r="AN33" s="62" t="n"/>
      <c r="AO33" s="60" t="n"/>
      <c r="AP33" s="61" t="n"/>
      <c r="AQ33" s="63">
        <f>IF($A33="","",IF(AM33="","Not Enrolled",IF(TODAY()&gt;AM33,"Review Overdue",IF(AM33-TODAY()&lt;=30,"Review Due Soon","Active"))))</f>
        <v/>
      </c>
      <c r="AR33" s="63">
        <f>IF($A33="","",IF(AN33="","NOT REVIEWED",IF(TODAY()-AN33&gt;90,"OVERDUE",IF(TODAY()-AN33&gt;76,"Due Soon","Current"))))</f>
        <v/>
      </c>
    </row>
    <row r="34" ht="15" customHeight="1" s="39">
      <c r="A34" s="61" t="n"/>
      <c r="B34" s="60" t="n"/>
      <c r="C34" s="61" t="n"/>
      <c r="D34" s="60" t="n"/>
      <c r="E34" s="60" t="n"/>
      <c r="F34" s="62" t="n"/>
      <c r="G34" s="62" t="n"/>
      <c r="H34" s="60" t="n"/>
      <c r="I34" s="60" t="n"/>
      <c r="J34" s="61" t="n"/>
      <c r="K34" s="61" t="n"/>
      <c r="L34" s="61" t="n"/>
      <c r="M34" s="60" t="n"/>
      <c r="N34" s="60" t="n"/>
      <c r="O34" s="60" t="n"/>
      <c r="P34" s="61" t="n"/>
      <c r="Q34" s="60" t="n"/>
      <c r="R34" s="60" t="n"/>
      <c r="S34" s="60" t="n"/>
      <c r="T34" s="61" t="n"/>
      <c r="U34" s="61" t="n"/>
      <c r="V34" s="60" t="n"/>
      <c r="W34" s="60" t="n"/>
      <c r="X34" s="60" t="n"/>
      <c r="Y34" s="60" t="n"/>
      <c r="Z34" s="61" t="n"/>
      <c r="AA34" s="60" t="n"/>
      <c r="AB34" s="60" t="n"/>
      <c r="AC34" s="60" t="n"/>
      <c r="AD34" s="60" t="n"/>
      <c r="AE34" s="63">
        <f>IF($G34="","",TODAY()-$G34)</f>
        <v/>
      </c>
      <c r="AF34" s="63">
        <f>IF($A34="","",IF($M34&gt;0,"Yes","No"))</f>
        <v/>
      </c>
      <c r="AG34" s="63">
        <f>IF($A34="","",IF(AND($E34="Yes",OR($AA34="No",$AA34="NOT FOUND")),"YES",""))</f>
        <v/>
      </c>
      <c r="AH34" s="66">
        <f>IF($A34="","",TRIM(IF(AND($Y34=0,$I34&lt;&gt;"Yes"),"T0-NoPhishResistant ","")&amp;IF($H34="No","NoMFA ","")&amp;IF(AND($Y34=0,$M34&gt;0),"T0-Standing ","")&amp;IF(AND($Y34=0,$S34="Group only"),"T0-ViaGroupOnly ","")&amp;IF($R34="Yes","BroadAzureScope ","")&amp;IF(AND($E34="Yes",$G34=""),"NeverSignedIn ","")))</f>
        <v/>
      </c>
      <c r="AI34" s="60" t="n"/>
      <c r="AJ34" s="61" t="n"/>
      <c r="AK34" s="60" t="n"/>
      <c r="AL34" s="62" t="n"/>
      <c r="AM34" s="62" t="n"/>
      <c r="AN34" s="62" t="n"/>
      <c r="AO34" s="60" t="n"/>
      <c r="AP34" s="61" t="n"/>
      <c r="AQ34" s="63">
        <f>IF($A34="","",IF(AM34="","Not Enrolled",IF(TODAY()&gt;AM34,"Review Overdue",IF(AM34-TODAY()&lt;=30,"Review Due Soon","Active"))))</f>
        <v/>
      </c>
      <c r="AR34" s="63">
        <f>IF($A34="","",IF(AN34="","NOT REVIEWED",IF(TODAY()-AN34&gt;90,"OVERDUE",IF(TODAY()-AN34&gt;76,"Due Soon","Current"))))</f>
        <v/>
      </c>
    </row>
    <row r="35" ht="15" customHeight="1" s="39">
      <c r="A35" s="61" t="n"/>
      <c r="B35" s="60" t="n"/>
      <c r="C35" s="61" t="n"/>
      <c r="D35" s="60" t="n"/>
      <c r="E35" s="60" t="n"/>
      <c r="F35" s="62" t="n"/>
      <c r="G35" s="62" t="n"/>
      <c r="H35" s="60" t="n"/>
      <c r="I35" s="60" t="n"/>
      <c r="J35" s="61" t="n"/>
      <c r="K35" s="61" t="n"/>
      <c r="L35" s="61" t="n"/>
      <c r="M35" s="60" t="n"/>
      <c r="N35" s="60" t="n"/>
      <c r="O35" s="60" t="n"/>
      <c r="P35" s="61" t="n"/>
      <c r="Q35" s="60" t="n"/>
      <c r="R35" s="60" t="n"/>
      <c r="S35" s="60" t="n"/>
      <c r="T35" s="61" t="n"/>
      <c r="U35" s="61" t="n"/>
      <c r="V35" s="60" t="n"/>
      <c r="W35" s="60" t="n"/>
      <c r="X35" s="60" t="n"/>
      <c r="Y35" s="60" t="n"/>
      <c r="Z35" s="61" t="n"/>
      <c r="AA35" s="60" t="n"/>
      <c r="AB35" s="60" t="n"/>
      <c r="AC35" s="60" t="n"/>
      <c r="AD35" s="60" t="n"/>
      <c r="AE35" s="63">
        <f>IF($G35="","",TODAY()-$G35)</f>
        <v/>
      </c>
      <c r="AF35" s="63">
        <f>IF($A35="","",IF($M35&gt;0,"Yes","No"))</f>
        <v/>
      </c>
      <c r="AG35" s="63">
        <f>IF($A35="","",IF(AND($E35="Yes",OR($AA35="No",$AA35="NOT FOUND")),"YES",""))</f>
        <v/>
      </c>
      <c r="AH35" s="66">
        <f>IF($A35="","",TRIM(IF(AND($Y35=0,$I35&lt;&gt;"Yes"),"T0-NoPhishResistant ","")&amp;IF($H35="No","NoMFA ","")&amp;IF(AND($Y35=0,$M35&gt;0),"T0-Standing ","")&amp;IF(AND($Y35=0,$S35="Group only"),"T0-ViaGroupOnly ","")&amp;IF($R35="Yes","BroadAzureScope ","")&amp;IF(AND($E35="Yes",$G35=""),"NeverSignedIn ","")))</f>
        <v/>
      </c>
      <c r="AI35" s="60" t="n"/>
      <c r="AJ35" s="61" t="n"/>
      <c r="AK35" s="60" t="n"/>
      <c r="AL35" s="62" t="n"/>
      <c r="AM35" s="62" t="n"/>
      <c r="AN35" s="62" t="n"/>
      <c r="AO35" s="60" t="n"/>
      <c r="AP35" s="61" t="n"/>
      <c r="AQ35" s="63">
        <f>IF($A35="","",IF(AM35="","Not Enrolled",IF(TODAY()&gt;AM35,"Review Overdue",IF(AM35-TODAY()&lt;=30,"Review Due Soon","Active"))))</f>
        <v/>
      </c>
      <c r="AR35" s="63">
        <f>IF($A35="","",IF(AN35="","NOT REVIEWED",IF(TODAY()-AN35&gt;90,"OVERDUE",IF(TODAY()-AN35&gt;76,"Due Soon","Current"))))</f>
        <v/>
      </c>
    </row>
    <row r="36" ht="15" customHeight="1" s="39">
      <c r="A36" s="61" t="n"/>
      <c r="B36" s="60" t="n"/>
      <c r="C36" s="61" t="n"/>
      <c r="D36" s="60" t="n"/>
      <c r="E36" s="60" t="n"/>
      <c r="F36" s="62" t="n"/>
      <c r="G36" s="62" t="n"/>
      <c r="H36" s="60" t="n"/>
      <c r="I36" s="60" t="n"/>
      <c r="J36" s="61" t="n"/>
      <c r="K36" s="61" t="n"/>
      <c r="L36" s="61" t="n"/>
      <c r="M36" s="60" t="n"/>
      <c r="N36" s="60" t="n"/>
      <c r="O36" s="60" t="n"/>
      <c r="P36" s="61" t="n"/>
      <c r="Q36" s="60" t="n"/>
      <c r="R36" s="60" t="n"/>
      <c r="S36" s="60" t="n"/>
      <c r="T36" s="61" t="n"/>
      <c r="U36" s="61" t="n"/>
      <c r="V36" s="60" t="n"/>
      <c r="W36" s="60" t="n"/>
      <c r="X36" s="60" t="n"/>
      <c r="Y36" s="60" t="n"/>
      <c r="Z36" s="61" t="n"/>
      <c r="AA36" s="60" t="n"/>
      <c r="AB36" s="60" t="n"/>
      <c r="AC36" s="60" t="n"/>
      <c r="AD36" s="60" t="n"/>
      <c r="AE36" s="63">
        <f>IF($G36="","",TODAY()-$G36)</f>
        <v/>
      </c>
      <c r="AF36" s="63">
        <f>IF($A36="","",IF($M36&gt;0,"Yes","No"))</f>
        <v/>
      </c>
      <c r="AG36" s="63">
        <f>IF($A36="","",IF(AND($E36="Yes",OR($AA36="No",$AA36="NOT FOUND")),"YES",""))</f>
        <v/>
      </c>
      <c r="AH36" s="66">
        <f>IF($A36="","",TRIM(IF(AND($Y36=0,$I36&lt;&gt;"Yes"),"T0-NoPhishResistant ","")&amp;IF($H36="No","NoMFA ","")&amp;IF(AND($Y36=0,$M36&gt;0),"T0-Standing ","")&amp;IF(AND($Y36=0,$S36="Group only"),"T0-ViaGroupOnly ","")&amp;IF($R36="Yes","BroadAzureScope ","")&amp;IF(AND($E36="Yes",$G36=""),"NeverSignedIn ","")))</f>
        <v/>
      </c>
      <c r="AI36" s="60" t="n"/>
      <c r="AJ36" s="61" t="n"/>
      <c r="AK36" s="60" t="n"/>
      <c r="AL36" s="62" t="n"/>
      <c r="AM36" s="62" t="n"/>
      <c r="AN36" s="62" t="n"/>
      <c r="AO36" s="60" t="n"/>
      <c r="AP36" s="61" t="n"/>
      <c r="AQ36" s="63">
        <f>IF($A36="","",IF(AM36="","Not Enrolled",IF(TODAY()&gt;AM36,"Review Overdue",IF(AM36-TODAY()&lt;=30,"Review Due Soon","Active"))))</f>
        <v/>
      </c>
      <c r="AR36" s="63">
        <f>IF($A36="","",IF(AN36="","NOT REVIEWED",IF(TODAY()-AN36&gt;90,"OVERDUE",IF(TODAY()-AN36&gt;76,"Due Soon","Current"))))</f>
        <v/>
      </c>
    </row>
    <row r="37" ht="15" customHeight="1" s="39">
      <c r="A37" s="61" t="n"/>
      <c r="B37" s="60" t="n"/>
      <c r="C37" s="61" t="n"/>
      <c r="D37" s="60" t="n"/>
      <c r="E37" s="60" t="n"/>
      <c r="F37" s="62" t="n"/>
      <c r="G37" s="62" t="n"/>
      <c r="H37" s="60" t="n"/>
      <c r="I37" s="60" t="n"/>
      <c r="J37" s="61" t="n"/>
      <c r="K37" s="61" t="n"/>
      <c r="L37" s="61" t="n"/>
      <c r="M37" s="60" t="n"/>
      <c r="N37" s="60" t="n"/>
      <c r="O37" s="60" t="n"/>
      <c r="P37" s="61" t="n"/>
      <c r="Q37" s="60" t="n"/>
      <c r="R37" s="60" t="n"/>
      <c r="S37" s="60" t="n"/>
      <c r="T37" s="61" t="n"/>
      <c r="U37" s="61" t="n"/>
      <c r="V37" s="60" t="n"/>
      <c r="W37" s="60" t="n"/>
      <c r="X37" s="60" t="n"/>
      <c r="Y37" s="60" t="n"/>
      <c r="Z37" s="61" t="n"/>
      <c r="AA37" s="60" t="n"/>
      <c r="AB37" s="60" t="n"/>
      <c r="AC37" s="60" t="n"/>
      <c r="AD37" s="60" t="n"/>
      <c r="AE37" s="63">
        <f>IF($G37="","",TODAY()-$G37)</f>
        <v/>
      </c>
      <c r="AF37" s="63">
        <f>IF($A37="","",IF($M37&gt;0,"Yes","No"))</f>
        <v/>
      </c>
      <c r="AG37" s="63">
        <f>IF($A37="","",IF(AND($E37="Yes",OR($AA37="No",$AA37="NOT FOUND")),"YES",""))</f>
        <v/>
      </c>
      <c r="AH37" s="66">
        <f>IF($A37="","",TRIM(IF(AND($Y37=0,$I37&lt;&gt;"Yes"),"T0-NoPhishResistant ","")&amp;IF($H37="No","NoMFA ","")&amp;IF(AND($Y37=0,$M37&gt;0),"T0-Standing ","")&amp;IF(AND($Y37=0,$S37="Group only"),"T0-ViaGroupOnly ","")&amp;IF($R37="Yes","BroadAzureScope ","")&amp;IF(AND($E37="Yes",$G37=""),"NeverSignedIn ","")))</f>
        <v/>
      </c>
      <c r="AI37" s="60" t="n"/>
      <c r="AJ37" s="61" t="n"/>
      <c r="AK37" s="60" t="n"/>
      <c r="AL37" s="62" t="n"/>
      <c r="AM37" s="62" t="n"/>
      <c r="AN37" s="62" t="n"/>
      <c r="AO37" s="60" t="n"/>
      <c r="AP37" s="61" t="n"/>
      <c r="AQ37" s="63">
        <f>IF($A37="","",IF(AM37="","Not Enrolled",IF(TODAY()&gt;AM37,"Review Overdue",IF(AM37-TODAY()&lt;=30,"Review Due Soon","Active"))))</f>
        <v/>
      </c>
      <c r="AR37" s="63">
        <f>IF($A37="","",IF(AN37="","NOT REVIEWED",IF(TODAY()-AN37&gt;90,"OVERDUE",IF(TODAY()-AN37&gt;76,"Due Soon","Current"))))</f>
        <v/>
      </c>
    </row>
    <row r="38" ht="15" customHeight="1" s="39">
      <c r="A38" s="61" t="n"/>
      <c r="B38" s="60" t="n"/>
      <c r="C38" s="61" t="n"/>
      <c r="D38" s="60" t="n"/>
      <c r="E38" s="60" t="n"/>
      <c r="F38" s="62" t="n"/>
      <c r="G38" s="62" t="n"/>
      <c r="H38" s="60" t="n"/>
      <c r="I38" s="60" t="n"/>
      <c r="J38" s="61" t="n"/>
      <c r="K38" s="61" t="n"/>
      <c r="L38" s="61" t="n"/>
      <c r="M38" s="60" t="n"/>
      <c r="N38" s="60" t="n"/>
      <c r="O38" s="60" t="n"/>
      <c r="P38" s="61" t="n"/>
      <c r="Q38" s="60" t="n"/>
      <c r="R38" s="60" t="n"/>
      <c r="S38" s="60" t="n"/>
      <c r="T38" s="61" t="n"/>
      <c r="U38" s="61" t="n"/>
      <c r="V38" s="60" t="n"/>
      <c r="W38" s="60" t="n"/>
      <c r="X38" s="60" t="n"/>
      <c r="Y38" s="60" t="n"/>
      <c r="Z38" s="61" t="n"/>
      <c r="AA38" s="60" t="n"/>
      <c r="AB38" s="60" t="n"/>
      <c r="AC38" s="60" t="n"/>
      <c r="AD38" s="60" t="n"/>
      <c r="AE38" s="63">
        <f>IF($G38="","",TODAY()-$G38)</f>
        <v/>
      </c>
      <c r="AF38" s="63">
        <f>IF($A38="","",IF($M38&gt;0,"Yes","No"))</f>
        <v/>
      </c>
      <c r="AG38" s="63">
        <f>IF($A38="","",IF(AND($E38="Yes",OR($AA38="No",$AA38="NOT FOUND")),"YES",""))</f>
        <v/>
      </c>
      <c r="AH38" s="66">
        <f>IF($A38="","",TRIM(IF(AND($Y38=0,$I38&lt;&gt;"Yes"),"T0-NoPhishResistant ","")&amp;IF($H38="No","NoMFA ","")&amp;IF(AND($Y38=0,$M38&gt;0),"T0-Standing ","")&amp;IF(AND($Y38=0,$S38="Group only"),"T0-ViaGroupOnly ","")&amp;IF($R38="Yes","BroadAzureScope ","")&amp;IF(AND($E38="Yes",$G38=""),"NeverSignedIn ","")))</f>
        <v/>
      </c>
      <c r="AI38" s="60" t="n"/>
      <c r="AJ38" s="61" t="n"/>
      <c r="AK38" s="60" t="n"/>
      <c r="AL38" s="62" t="n"/>
      <c r="AM38" s="62" t="n"/>
      <c r="AN38" s="62" t="n"/>
      <c r="AO38" s="60" t="n"/>
      <c r="AP38" s="61" t="n"/>
      <c r="AQ38" s="63">
        <f>IF($A38="","",IF(AM38="","Not Enrolled",IF(TODAY()&gt;AM38,"Review Overdue",IF(AM38-TODAY()&lt;=30,"Review Due Soon","Active"))))</f>
        <v/>
      </c>
      <c r="AR38" s="63">
        <f>IF($A38="","",IF(AN38="","NOT REVIEWED",IF(TODAY()-AN38&gt;90,"OVERDUE",IF(TODAY()-AN38&gt;76,"Due Soon","Current"))))</f>
        <v/>
      </c>
    </row>
    <row r="39" ht="15" customHeight="1" s="39">
      <c r="A39" s="61" t="n"/>
      <c r="B39" s="60" t="n"/>
      <c r="C39" s="61" t="n"/>
      <c r="D39" s="60" t="n"/>
      <c r="E39" s="60" t="n"/>
      <c r="F39" s="62" t="n"/>
      <c r="G39" s="62" t="n"/>
      <c r="H39" s="60" t="n"/>
      <c r="I39" s="60" t="n"/>
      <c r="J39" s="61" t="n"/>
      <c r="K39" s="61" t="n"/>
      <c r="L39" s="61" t="n"/>
      <c r="M39" s="60" t="n"/>
      <c r="N39" s="60" t="n"/>
      <c r="O39" s="60" t="n"/>
      <c r="P39" s="61" t="n"/>
      <c r="Q39" s="60" t="n"/>
      <c r="R39" s="60" t="n"/>
      <c r="S39" s="60" t="n"/>
      <c r="T39" s="61" t="n"/>
      <c r="U39" s="61" t="n"/>
      <c r="V39" s="60" t="n"/>
      <c r="W39" s="60" t="n"/>
      <c r="X39" s="60" t="n"/>
      <c r="Y39" s="60" t="n"/>
      <c r="Z39" s="61" t="n"/>
      <c r="AA39" s="60" t="n"/>
      <c r="AB39" s="60" t="n"/>
      <c r="AC39" s="60" t="n"/>
      <c r="AD39" s="60" t="n"/>
      <c r="AE39" s="63">
        <f>IF($G39="","",TODAY()-$G39)</f>
        <v/>
      </c>
      <c r="AF39" s="63">
        <f>IF($A39="","",IF($M39&gt;0,"Yes","No"))</f>
        <v/>
      </c>
      <c r="AG39" s="63">
        <f>IF($A39="","",IF(AND($E39="Yes",OR($AA39="No",$AA39="NOT FOUND")),"YES",""))</f>
        <v/>
      </c>
      <c r="AH39" s="66">
        <f>IF($A39="","",TRIM(IF(AND($Y39=0,$I39&lt;&gt;"Yes"),"T0-NoPhishResistant ","")&amp;IF($H39="No","NoMFA ","")&amp;IF(AND($Y39=0,$M39&gt;0),"T0-Standing ","")&amp;IF(AND($Y39=0,$S39="Group only"),"T0-ViaGroupOnly ","")&amp;IF($R39="Yes","BroadAzureScope ","")&amp;IF(AND($E39="Yes",$G39=""),"NeverSignedIn ","")))</f>
        <v/>
      </c>
      <c r="AI39" s="60" t="n"/>
      <c r="AJ39" s="61" t="n"/>
      <c r="AK39" s="60" t="n"/>
      <c r="AL39" s="62" t="n"/>
      <c r="AM39" s="62" t="n"/>
      <c r="AN39" s="62" t="n"/>
      <c r="AO39" s="60" t="n"/>
      <c r="AP39" s="61" t="n"/>
      <c r="AQ39" s="63">
        <f>IF($A39="","",IF(AM39="","Not Enrolled",IF(TODAY()&gt;AM39,"Review Overdue",IF(AM39-TODAY()&lt;=30,"Review Due Soon","Active"))))</f>
        <v/>
      </c>
      <c r="AR39" s="63">
        <f>IF($A39="","",IF(AN39="","NOT REVIEWED",IF(TODAY()-AN39&gt;90,"OVERDUE",IF(TODAY()-AN39&gt;76,"Due Soon","Current"))))</f>
        <v/>
      </c>
    </row>
    <row r="40" ht="15" customHeight="1" s="39">
      <c r="A40" s="61" t="n"/>
      <c r="B40" s="60" t="n"/>
      <c r="C40" s="61" t="n"/>
      <c r="D40" s="60" t="n"/>
      <c r="E40" s="60" t="n"/>
      <c r="F40" s="62" t="n"/>
      <c r="G40" s="62" t="n"/>
      <c r="H40" s="60" t="n"/>
      <c r="I40" s="60" t="n"/>
      <c r="J40" s="61" t="n"/>
      <c r="K40" s="61" t="n"/>
      <c r="L40" s="61" t="n"/>
      <c r="M40" s="60" t="n"/>
      <c r="N40" s="60" t="n"/>
      <c r="O40" s="60" t="n"/>
      <c r="P40" s="61" t="n"/>
      <c r="Q40" s="60" t="n"/>
      <c r="R40" s="60" t="n"/>
      <c r="S40" s="60" t="n"/>
      <c r="T40" s="61" t="n"/>
      <c r="U40" s="61" t="n"/>
      <c r="V40" s="60" t="n"/>
      <c r="W40" s="60" t="n"/>
      <c r="X40" s="60" t="n"/>
      <c r="Y40" s="60" t="n"/>
      <c r="Z40" s="61" t="n"/>
      <c r="AA40" s="60" t="n"/>
      <c r="AB40" s="60" t="n"/>
      <c r="AC40" s="60" t="n"/>
      <c r="AD40" s="60" t="n"/>
      <c r="AE40" s="63">
        <f>IF($G40="","",TODAY()-$G40)</f>
        <v/>
      </c>
      <c r="AF40" s="63">
        <f>IF($A40="","",IF($M40&gt;0,"Yes","No"))</f>
        <v/>
      </c>
      <c r="AG40" s="63">
        <f>IF($A40="","",IF(AND($E40="Yes",OR($AA40="No",$AA40="NOT FOUND")),"YES",""))</f>
        <v/>
      </c>
      <c r="AH40" s="66">
        <f>IF($A40="","",TRIM(IF(AND($Y40=0,$I40&lt;&gt;"Yes"),"T0-NoPhishResistant ","")&amp;IF($H40="No","NoMFA ","")&amp;IF(AND($Y40=0,$M40&gt;0),"T0-Standing ","")&amp;IF(AND($Y40=0,$S40="Group only"),"T0-ViaGroupOnly ","")&amp;IF($R40="Yes","BroadAzureScope ","")&amp;IF(AND($E40="Yes",$G40=""),"NeverSignedIn ","")))</f>
        <v/>
      </c>
      <c r="AI40" s="60" t="n"/>
      <c r="AJ40" s="61" t="n"/>
      <c r="AK40" s="60" t="n"/>
      <c r="AL40" s="62" t="n"/>
      <c r="AM40" s="62" t="n"/>
      <c r="AN40" s="62" t="n"/>
      <c r="AO40" s="60" t="n"/>
      <c r="AP40" s="61" t="n"/>
      <c r="AQ40" s="63">
        <f>IF($A40="","",IF(AM40="","Not Enrolled",IF(TODAY()&gt;AM40,"Review Overdue",IF(AM40-TODAY()&lt;=30,"Review Due Soon","Active"))))</f>
        <v/>
      </c>
      <c r="AR40" s="63">
        <f>IF($A40="","",IF(AN40="","NOT REVIEWED",IF(TODAY()-AN40&gt;90,"OVERDUE",IF(TODAY()-AN40&gt;76,"Due Soon","Current"))))</f>
        <v/>
      </c>
    </row>
    <row r="41" ht="15" customHeight="1" s="39">
      <c r="A41" s="61" t="n"/>
      <c r="B41" s="60" t="n"/>
      <c r="C41" s="61" t="n"/>
      <c r="D41" s="60" t="n"/>
      <c r="E41" s="60" t="n"/>
      <c r="F41" s="62" t="n"/>
      <c r="G41" s="62" t="n"/>
      <c r="H41" s="60" t="n"/>
      <c r="I41" s="60" t="n"/>
      <c r="J41" s="61" t="n"/>
      <c r="K41" s="61" t="n"/>
      <c r="L41" s="61" t="n"/>
      <c r="M41" s="60" t="n"/>
      <c r="N41" s="60" t="n"/>
      <c r="O41" s="60" t="n"/>
      <c r="P41" s="61" t="n"/>
      <c r="Q41" s="60" t="n"/>
      <c r="R41" s="60" t="n"/>
      <c r="S41" s="60" t="n"/>
      <c r="T41" s="61" t="n"/>
      <c r="U41" s="61" t="n"/>
      <c r="V41" s="60" t="n"/>
      <c r="W41" s="60" t="n"/>
      <c r="X41" s="60" t="n"/>
      <c r="Y41" s="60" t="n"/>
      <c r="Z41" s="61" t="n"/>
      <c r="AA41" s="60" t="n"/>
      <c r="AB41" s="60" t="n"/>
      <c r="AC41" s="60" t="n"/>
      <c r="AD41" s="60" t="n"/>
      <c r="AE41" s="63">
        <f>IF($G41="","",TODAY()-$G41)</f>
        <v/>
      </c>
      <c r="AF41" s="63">
        <f>IF($A41="","",IF($M41&gt;0,"Yes","No"))</f>
        <v/>
      </c>
      <c r="AG41" s="63">
        <f>IF($A41="","",IF(AND($E41="Yes",OR($AA41="No",$AA41="NOT FOUND")),"YES",""))</f>
        <v/>
      </c>
      <c r="AH41" s="66">
        <f>IF($A41="","",TRIM(IF(AND($Y41=0,$I41&lt;&gt;"Yes"),"T0-NoPhishResistant ","")&amp;IF($H41="No","NoMFA ","")&amp;IF(AND($Y41=0,$M41&gt;0),"T0-Standing ","")&amp;IF(AND($Y41=0,$S41="Group only"),"T0-ViaGroupOnly ","")&amp;IF($R41="Yes","BroadAzureScope ","")&amp;IF(AND($E41="Yes",$G41=""),"NeverSignedIn ","")))</f>
        <v/>
      </c>
      <c r="AI41" s="60" t="n"/>
      <c r="AJ41" s="61" t="n"/>
      <c r="AK41" s="60" t="n"/>
      <c r="AL41" s="62" t="n"/>
      <c r="AM41" s="62" t="n"/>
      <c r="AN41" s="62" t="n"/>
      <c r="AO41" s="60" t="n"/>
      <c r="AP41" s="61" t="n"/>
      <c r="AQ41" s="63">
        <f>IF($A41="","",IF(AM41="","Not Enrolled",IF(TODAY()&gt;AM41,"Review Overdue",IF(AM41-TODAY()&lt;=30,"Review Due Soon","Active"))))</f>
        <v/>
      </c>
      <c r="AR41" s="63">
        <f>IF($A41="","",IF(AN41="","NOT REVIEWED",IF(TODAY()-AN41&gt;90,"OVERDUE",IF(TODAY()-AN41&gt;76,"Due Soon","Current"))))</f>
        <v/>
      </c>
    </row>
    <row r="42" ht="15" customHeight="1" s="39">
      <c r="A42" s="61" t="n"/>
      <c r="B42" s="60" t="n"/>
      <c r="C42" s="61" t="n"/>
      <c r="D42" s="60" t="n"/>
      <c r="E42" s="60" t="n"/>
      <c r="F42" s="62" t="n"/>
      <c r="G42" s="62" t="n"/>
      <c r="H42" s="60" t="n"/>
      <c r="I42" s="60" t="n"/>
      <c r="J42" s="61" t="n"/>
      <c r="K42" s="61" t="n"/>
      <c r="L42" s="61" t="n"/>
      <c r="M42" s="60" t="n"/>
      <c r="N42" s="60" t="n"/>
      <c r="O42" s="60" t="n"/>
      <c r="P42" s="61" t="n"/>
      <c r="Q42" s="60" t="n"/>
      <c r="R42" s="60" t="n"/>
      <c r="S42" s="60" t="n"/>
      <c r="T42" s="61" t="n"/>
      <c r="U42" s="61" t="n"/>
      <c r="V42" s="60" t="n"/>
      <c r="W42" s="60" t="n"/>
      <c r="X42" s="60" t="n"/>
      <c r="Y42" s="60" t="n"/>
      <c r="Z42" s="61" t="n"/>
      <c r="AA42" s="60" t="n"/>
      <c r="AB42" s="60" t="n"/>
      <c r="AC42" s="60" t="n"/>
      <c r="AD42" s="60" t="n"/>
      <c r="AE42" s="63">
        <f>IF($G42="","",TODAY()-$G42)</f>
        <v/>
      </c>
      <c r="AF42" s="63">
        <f>IF($A42="","",IF($M42&gt;0,"Yes","No"))</f>
        <v/>
      </c>
      <c r="AG42" s="63">
        <f>IF($A42="","",IF(AND($E42="Yes",OR($AA42="No",$AA42="NOT FOUND")),"YES",""))</f>
        <v/>
      </c>
      <c r="AH42" s="66">
        <f>IF($A42="","",TRIM(IF(AND($Y42=0,$I42&lt;&gt;"Yes"),"T0-NoPhishResistant ","")&amp;IF($H42="No","NoMFA ","")&amp;IF(AND($Y42=0,$M42&gt;0),"T0-Standing ","")&amp;IF(AND($Y42=0,$S42="Group only"),"T0-ViaGroupOnly ","")&amp;IF($R42="Yes","BroadAzureScope ","")&amp;IF(AND($E42="Yes",$G42=""),"NeverSignedIn ","")))</f>
        <v/>
      </c>
      <c r="AI42" s="60" t="n"/>
      <c r="AJ42" s="61" t="n"/>
      <c r="AK42" s="60" t="n"/>
      <c r="AL42" s="62" t="n"/>
      <c r="AM42" s="62" t="n"/>
      <c r="AN42" s="62" t="n"/>
      <c r="AO42" s="60" t="n"/>
      <c r="AP42" s="61" t="n"/>
      <c r="AQ42" s="63">
        <f>IF($A42="","",IF(AM42="","Not Enrolled",IF(TODAY()&gt;AM42,"Review Overdue",IF(AM42-TODAY()&lt;=30,"Review Due Soon","Active"))))</f>
        <v/>
      </c>
      <c r="AR42" s="63">
        <f>IF($A42="","",IF(AN42="","NOT REVIEWED",IF(TODAY()-AN42&gt;90,"OVERDUE",IF(TODAY()-AN42&gt;76,"Due Soon","Current"))))</f>
        <v/>
      </c>
    </row>
    <row r="43" ht="15" customHeight="1" s="39">
      <c r="A43" s="61" t="n"/>
      <c r="B43" s="60" t="n"/>
      <c r="C43" s="61" t="n"/>
      <c r="D43" s="60" t="n"/>
      <c r="E43" s="60" t="n"/>
      <c r="F43" s="62" t="n"/>
      <c r="G43" s="62" t="n"/>
      <c r="H43" s="60" t="n"/>
      <c r="I43" s="60" t="n"/>
      <c r="J43" s="61" t="n"/>
      <c r="K43" s="61" t="n"/>
      <c r="L43" s="61" t="n"/>
      <c r="M43" s="60" t="n"/>
      <c r="N43" s="60" t="n"/>
      <c r="O43" s="60" t="n"/>
      <c r="P43" s="61" t="n"/>
      <c r="Q43" s="60" t="n"/>
      <c r="R43" s="60" t="n"/>
      <c r="S43" s="60" t="n"/>
      <c r="T43" s="61" t="n"/>
      <c r="U43" s="61" t="n"/>
      <c r="V43" s="60" t="n"/>
      <c r="W43" s="60" t="n"/>
      <c r="X43" s="60" t="n"/>
      <c r="Y43" s="60" t="n"/>
      <c r="Z43" s="61" t="n"/>
      <c r="AA43" s="60" t="n"/>
      <c r="AB43" s="60" t="n"/>
      <c r="AC43" s="60" t="n"/>
      <c r="AD43" s="60" t="n"/>
      <c r="AE43" s="63">
        <f>IF($G43="","",TODAY()-$G43)</f>
        <v/>
      </c>
      <c r="AF43" s="63">
        <f>IF($A43="","",IF($M43&gt;0,"Yes","No"))</f>
        <v/>
      </c>
      <c r="AG43" s="63">
        <f>IF($A43="","",IF(AND($E43="Yes",OR($AA43="No",$AA43="NOT FOUND")),"YES",""))</f>
        <v/>
      </c>
      <c r="AH43" s="66">
        <f>IF($A43="","",TRIM(IF(AND($Y43=0,$I43&lt;&gt;"Yes"),"T0-NoPhishResistant ","")&amp;IF($H43="No","NoMFA ","")&amp;IF(AND($Y43=0,$M43&gt;0),"T0-Standing ","")&amp;IF(AND($Y43=0,$S43="Group only"),"T0-ViaGroupOnly ","")&amp;IF($R43="Yes","BroadAzureScope ","")&amp;IF(AND($E43="Yes",$G43=""),"NeverSignedIn ","")))</f>
        <v/>
      </c>
      <c r="AI43" s="60" t="n"/>
      <c r="AJ43" s="61" t="n"/>
      <c r="AK43" s="60" t="n"/>
      <c r="AL43" s="62" t="n"/>
      <c r="AM43" s="62" t="n"/>
      <c r="AN43" s="62" t="n"/>
      <c r="AO43" s="60" t="n"/>
      <c r="AP43" s="61" t="n"/>
      <c r="AQ43" s="63">
        <f>IF($A43="","",IF(AM43="","Not Enrolled",IF(TODAY()&gt;AM43,"Review Overdue",IF(AM43-TODAY()&lt;=30,"Review Due Soon","Active"))))</f>
        <v/>
      </c>
      <c r="AR43" s="63">
        <f>IF($A43="","",IF(AN43="","NOT REVIEWED",IF(TODAY()-AN43&gt;90,"OVERDUE",IF(TODAY()-AN43&gt;76,"Due Soon","Current"))))</f>
        <v/>
      </c>
    </row>
    <row r="44" ht="15" customHeight="1" s="39">
      <c r="A44" s="61" t="n"/>
      <c r="B44" s="60" t="n"/>
      <c r="C44" s="61" t="n"/>
      <c r="D44" s="60" t="n"/>
      <c r="E44" s="60" t="n"/>
      <c r="F44" s="62" t="n"/>
      <c r="G44" s="62" t="n"/>
      <c r="H44" s="60" t="n"/>
      <c r="I44" s="60" t="n"/>
      <c r="J44" s="61" t="n"/>
      <c r="K44" s="61" t="n"/>
      <c r="L44" s="61" t="n"/>
      <c r="M44" s="60" t="n"/>
      <c r="N44" s="60" t="n"/>
      <c r="O44" s="60" t="n"/>
      <c r="P44" s="61" t="n"/>
      <c r="Q44" s="60" t="n"/>
      <c r="R44" s="60" t="n"/>
      <c r="S44" s="60" t="n"/>
      <c r="T44" s="61" t="n"/>
      <c r="U44" s="61" t="n"/>
      <c r="V44" s="60" t="n"/>
      <c r="W44" s="60" t="n"/>
      <c r="X44" s="60" t="n"/>
      <c r="Y44" s="60" t="n"/>
      <c r="Z44" s="61" t="n"/>
      <c r="AA44" s="60" t="n"/>
      <c r="AB44" s="60" t="n"/>
      <c r="AC44" s="60" t="n"/>
      <c r="AD44" s="60" t="n"/>
      <c r="AE44" s="63">
        <f>IF($G44="","",TODAY()-$G44)</f>
        <v/>
      </c>
      <c r="AF44" s="63">
        <f>IF($A44="","",IF($M44&gt;0,"Yes","No"))</f>
        <v/>
      </c>
      <c r="AG44" s="63">
        <f>IF($A44="","",IF(AND($E44="Yes",OR($AA44="No",$AA44="NOT FOUND")),"YES",""))</f>
        <v/>
      </c>
      <c r="AH44" s="66">
        <f>IF($A44="","",TRIM(IF(AND($Y44=0,$I44&lt;&gt;"Yes"),"T0-NoPhishResistant ","")&amp;IF($H44="No","NoMFA ","")&amp;IF(AND($Y44=0,$M44&gt;0),"T0-Standing ","")&amp;IF(AND($Y44=0,$S44="Group only"),"T0-ViaGroupOnly ","")&amp;IF($R44="Yes","BroadAzureScope ","")&amp;IF(AND($E44="Yes",$G44=""),"NeverSignedIn ","")))</f>
        <v/>
      </c>
      <c r="AI44" s="60" t="n"/>
      <c r="AJ44" s="61" t="n"/>
      <c r="AK44" s="60" t="n"/>
      <c r="AL44" s="62" t="n"/>
      <c r="AM44" s="62" t="n"/>
      <c r="AN44" s="62" t="n"/>
      <c r="AO44" s="60" t="n"/>
      <c r="AP44" s="61" t="n"/>
      <c r="AQ44" s="63">
        <f>IF($A44="","",IF(AM44="","Not Enrolled",IF(TODAY()&gt;AM44,"Review Overdue",IF(AM44-TODAY()&lt;=30,"Review Due Soon","Active"))))</f>
        <v/>
      </c>
      <c r="AR44" s="63">
        <f>IF($A44="","",IF(AN44="","NOT REVIEWED",IF(TODAY()-AN44&gt;90,"OVERDUE",IF(TODAY()-AN44&gt;76,"Due Soon","Current"))))</f>
        <v/>
      </c>
    </row>
    <row r="45" ht="15" customHeight="1" s="39">
      <c r="A45" s="61" t="n"/>
      <c r="B45" s="60" t="n"/>
      <c r="C45" s="61" t="n"/>
      <c r="D45" s="60" t="n"/>
      <c r="E45" s="60" t="n"/>
      <c r="F45" s="62" t="n"/>
      <c r="G45" s="62" t="n"/>
      <c r="H45" s="60" t="n"/>
      <c r="I45" s="60" t="n"/>
      <c r="J45" s="61" t="n"/>
      <c r="K45" s="61" t="n"/>
      <c r="L45" s="61" t="n"/>
      <c r="M45" s="60" t="n"/>
      <c r="N45" s="60" t="n"/>
      <c r="O45" s="60" t="n"/>
      <c r="P45" s="61" t="n"/>
      <c r="Q45" s="60" t="n"/>
      <c r="R45" s="60" t="n"/>
      <c r="S45" s="60" t="n"/>
      <c r="T45" s="61" t="n"/>
      <c r="U45" s="61" t="n"/>
      <c r="V45" s="60" t="n"/>
      <c r="W45" s="60" t="n"/>
      <c r="X45" s="60" t="n"/>
      <c r="Y45" s="60" t="n"/>
      <c r="Z45" s="61" t="n"/>
      <c r="AA45" s="60" t="n"/>
      <c r="AB45" s="60" t="n"/>
      <c r="AC45" s="60" t="n"/>
      <c r="AD45" s="60" t="n"/>
      <c r="AE45" s="63">
        <f>IF($G45="","",TODAY()-$G45)</f>
        <v/>
      </c>
      <c r="AF45" s="63">
        <f>IF($A45="","",IF($M45&gt;0,"Yes","No"))</f>
        <v/>
      </c>
      <c r="AG45" s="63">
        <f>IF($A45="","",IF(AND($E45="Yes",OR($AA45="No",$AA45="NOT FOUND")),"YES",""))</f>
        <v/>
      </c>
      <c r="AH45" s="66">
        <f>IF($A45="","",TRIM(IF(AND($Y45=0,$I45&lt;&gt;"Yes"),"T0-NoPhishResistant ","")&amp;IF($H45="No","NoMFA ","")&amp;IF(AND($Y45=0,$M45&gt;0),"T0-Standing ","")&amp;IF(AND($Y45=0,$S45="Group only"),"T0-ViaGroupOnly ","")&amp;IF($R45="Yes","BroadAzureScope ","")&amp;IF(AND($E45="Yes",$G45=""),"NeverSignedIn ","")))</f>
        <v/>
      </c>
      <c r="AI45" s="60" t="n"/>
      <c r="AJ45" s="61" t="n"/>
      <c r="AK45" s="60" t="n"/>
      <c r="AL45" s="62" t="n"/>
      <c r="AM45" s="62" t="n"/>
      <c r="AN45" s="62" t="n"/>
      <c r="AO45" s="60" t="n"/>
      <c r="AP45" s="61" t="n"/>
      <c r="AQ45" s="63">
        <f>IF($A45="","",IF(AM45="","Not Enrolled",IF(TODAY()&gt;AM45,"Review Overdue",IF(AM45-TODAY()&lt;=30,"Review Due Soon","Active"))))</f>
        <v/>
      </c>
      <c r="AR45" s="63">
        <f>IF($A45="","",IF(AN45="","NOT REVIEWED",IF(TODAY()-AN45&gt;90,"OVERDUE",IF(TODAY()-AN45&gt;76,"Due Soon","Current"))))</f>
        <v/>
      </c>
    </row>
    <row r="46" ht="15" customHeight="1" s="39">
      <c r="A46" s="61" t="n"/>
      <c r="B46" s="60" t="n"/>
      <c r="C46" s="61" t="n"/>
      <c r="D46" s="60" t="n"/>
      <c r="E46" s="60" t="n"/>
      <c r="F46" s="62" t="n"/>
      <c r="G46" s="62" t="n"/>
      <c r="H46" s="60" t="n"/>
      <c r="I46" s="60" t="n"/>
      <c r="J46" s="61" t="n"/>
      <c r="K46" s="61" t="n"/>
      <c r="L46" s="61" t="n"/>
      <c r="M46" s="60" t="n"/>
      <c r="N46" s="60" t="n"/>
      <c r="O46" s="60" t="n"/>
      <c r="P46" s="61" t="n"/>
      <c r="Q46" s="60" t="n"/>
      <c r="R46" s="60" t="n"/>
      <c r="S46" s="60" t="n"/>
      <c r="T46" s="61" t="n"/>
      <c r="U46" s="61" t="n"/>
      <c r="V46" s="60" t="n"/>
      <c r="W46" s="60" t="n"/>
      <c r="X46" s="60" t="n"/>
      <c r="Y46" s="60" t="n"/>
      <c r="Z46" s="61" t="n"/>
      <c r="AA46" s="60" t="n"/>
      <c r="AB46" s="60" t="n"/>
      <c r="AC46" s="60" t="n"/>
      <c r="AD46" s="60" t="n"/>
      <c r="AE46" s="63">
        <f>IF($G46="","",TODAY()-$G46)</f>
        <v/>
      </c>
      <c r="AF46" s="63">
        <f>IF($A46="","",IF($M46&gt;0,"Yes","No"))</f>
        <v/>
      </c>
      <c r="AG46" s="63">
        <f>IF($A46="","",IF(AND($E46="Yes",OR($AA46="No",$AA46="NOT FOUND")),"YES",""))</f>
        <v/>
      </c>
      <c r="AH46" s="66">
        <f>IF($A46="","",TRIM(IF(AND($Y46=0,$I46&lt;&gt;"Yes"),"T0-NoPhishResistant ","")&amp;IF($H46="No","NoMFA ","")&amp;IF(AND($Y46=0,$M46&gt;0),"T0-Standing ","")&amp;IF(AND($Y46=0,$S46="Group only"),"T0-ViaGroupOnly ","")&amp;IF($R46="Yes","BroadAzureScope ","")&amp;IF(AND($E46="Yes",$G46=""),"NeverSignedIn ","")))</f>
        <v/>
      </c>
      <c r="AI46" s="60" t="n"/>
      <c r="AJ46" s="61" t="n"/>
      <c r="AK46" s="60" t="n"/>
      <c r="AL46" s="62" t="n"/>
      <c r="AM46" s="62" t="n"/>
      <c r="AN46" s="62" t="n"/>
      <c r="AO46" s="60" t="n"/>
      <c r="AP46" s="61" t="n"/>
      <c r="AQ46" s="63">
        <f>IF($A46="","",IF(AM46="","Not Enrolled",IF(TODAY()&gt;AM46,"Review Overdue",IF(AM46-TODAY()&lt;=30,"Review Due Soon","Active"))))</f>
        <v/>
      </c>
      <c r="AR46" s="63">
        <f>IF($A46="","",IF(AN46="","NOT REVIEWED",IF(TODAY()-AN46&gt;90,"OVERDUE",IF(TODAY()-AN46&gt;76,"Due Soon","Current"))))</f>
        <v/>
      </c>
    </row>
    <row r="47" ht="15" customHeight="1" s="39">
      <c r="A47" s="61" t="n"/>
      <c r="B47" s="60" t="n"/>
      <c r="C47" s="61" t="n"/>
      <c r="D47" s="60" t="n"/>
      <c r="E47" s="60" t="n"/>
      <c r="F47" s="62" t="n"/>
      <c r="G47" s="62" t="n"/>
      <c r="H47" s="60" t="n"/>
      <c r="I47" s="60" t="n"/>
      <c r="J47" s="61" t="n"/>
      <c r="K47" s="61" t="n"/>
      <c r="L47" s="61" t="n"/>
      <c r="M47" s="60" t="n"/>
      <c r="N47" s="60" t="n"/>
      <c r="O47" s="60" t="n"/>
      <c r="P47" s="61" t="n"/>
      <c r="Q47" s="60" t="n"/>
      <c r="R47" s="60" t="n"/>
      <c r="S47" s="60" t="n"/>
      <c r="T47" s="61" t="n"/>
      <c r="U47" s="61" t="n"/>
      <c r="V47" s="60" t="n"/>
      <c r="W47" s="60" t="n"/>
      <c r="X47" s="60" t="n"/>
      <c r="Y47" s="60" t="n"/>
      <c r="Z47" s="61" t="n"/>
      <c r="AA47" s="60" t="n"/>
      <c r="AB47" s="60" t="n"/>
      <c r="AC47" s="60" t="n"/>
      <c r="AD47" s="60" t="n"/>
      <c r="AE47" s="63">
        <f>IF($G47="","",TODAY()-$G47)</f>
        <v/>
      </c>
      <c r="AF47" s="63">
        <f>IF($A47="","",IF($M47&gt;0,"Yes","No"))</f>
        <v/>
      </c>
      <c r="AG47" s="63">
        <f>IF($A47="","",IF(AND($E47="Yes",OR($AA47="No",$AA47="NOT FOUND")),"YES",""))</f>
        <v/>
      </c>
      <c r="AH47" s="66">
        <f>IF($A47="","",TRIM(IF(AND($Y47=0,$I47&lt;&gt;"Yes"),"T0-NoPhishResistant ","")&amp;IF($H47="No","NoMFA ","")&amp;IF(AND($Y47=0,$M47&gt;0),"T0-Standing ","")&amp;IF(AND($Y47=0,$S47="Group only"),"T0-ViaGroupOnly ","")&amp;IF($R47="Yes","BroadAzureScope ","")&amp;IF(AND($E47="Yes",$G47=""),"NeverSignedIn ","")))</f>
        <v/>
      </c>
      <c r="AI47" s="60" t="n"/>
      <c r="AJ47" s="61" t="n"/>
      <c r="AK47" s="60" t="n"/>
      <c r="AL47" s="62" t="n"/>
      <c r="AM47" s="62" t="n"/>
      <c r="AN47" s="62" t="n"/>
      <c r="AO47" s="60" t="n"/>
      <c r="AP47" s="61" t="n"/>
      <c r="AQ47" s="63">
        <f>IF($A47="","",IF(AM47="","Not Enrolled",IF(TODAY()&gt;AM47,"Review Overdue",IF(AM47-TODAY()&lt;=30,"Review Due Soon","Active"))))</f>
        <v/>
      </c>
      <c r="AR47" s="63">
        <f>IF($A47="","",IF(AN47="","NOT REVIEWED",IF(TODAY()-AN47&gt;90,"OVERDUE",IF(TODAY()-AN47&gt;76,"Due Soon","Current"))))</f>
        <v/>
      </c>
    </row>
    <row r="48" ht="15" customHeight="1" s="39">
      <c r="A48" s="61" t="n"/>
      <c r="B48" s="60" t="n"/>
      <c r="C48" s="61" t="n"/>
      <c r="D48" s="60" t="n"/>
      <c r="E48" s="60" t="n"/>
      <c r="F48" s="62" t="n"/>
      <c r="G48" s="62" t="n"/>
      <c r="H48" s="60" t="n"/>
      <c r="I48" s="60" t="n"/>
      <c r="J48" s="61" t="n"/>
      <c r="K48" s="61" t="n"/>
      <c r="L48" s="61" t="n"/>
      <c r="M48" s="60" t="n"/>
      <c r="N48" s="60" t="n"/>
      <c r="O48" s="60" t="n"/>
      <c r="P48" s="61" t="n"/>
      <c r="Q48" s="60" t="n"/>
      <c r="R48" s="60" t="n"/>
      <c r="S48" s="60" t="n"/>
      <c r="T48" s="61" t="n"/>
      <c r="U48" s="61" t="n"/>
      <c r="V48" s="60" t="n"/>
      <c r="W48" s="60" t="n"/>
      <c r="X48" s="60" t="n"/>
      <c r="Y48" s="60" t="n"/>
      <c r="Z48" s="61" t="n"/>
      <c r="AA48" s="60" t="n"/>
      <c r="AB48" s="60" t="n"/>
      <c r="AC48" s="60" t="n"/>
      <c r="AD48" s="60" t="n"/>
      <c r="AE48" s="63">
        <f>IF($G48="","",TODAY()-$G48)</f>
        <v/>
      </c>
      <c r="AF48" s="63">
        <f>IF($A48="","",IF($M48&gt;0,"Yes","No"))</f>
        <v/>
      </c>
      <c r="AG48" s="63">
        <f>IF($A48="","",IF(AND($E48="Yes",OR($AA48="No",$AA48="NOT FOUND")),"YES",""))</f>
        <v/>
      </c>
      <c r="AH48" s="66">
        <f>IF($A48="","",TRIM(IF(AND($Y48=0,$I48&lt;&gt;"Yes"),"T0-NoPhishResistant ","")&amp;IF($H48="No","NoMFA ","")&amp;IF(AND($Y48=0,$M48&gt;0),"T0-Standing ","")&amp;IF(AND($Y48=0,$S48="Group only"),"T0-ViaGroupOnly ","")&amp;IF($R48="Yes","BroadAzureScope ","")&amp;IF(AND($E48="Yes",$G48=""),"NeverSignedIn ","")))</f>
        <v/>
      </c>
      <c r="AI48" s="60" t="n"/>
      <c r="AJ48" s="61" t="n"/>
      <c r="AK48" s="60" t="n"/>
      <c r="AL48" s="62" t="n"/>
      <c r="AM48" s="62" t="n"/>
      <c r="AN48" s="62" t="n"/>
      <c r="AO48" s="60" t="n"/>
      <c r="AP48" s="61" t="n"/>
      <c r="AQ48" s="63">
        <f>IF($A48="","",IF(AM48="","Not Enrolled",IF(TODAY()&gt;AM48,"Review Overdue",IF(AM48-TODAY()&lt;=30,"Review Due Soon","Active"))))</f>
        <v/>
      </c>
      <c r="AR48" s="63">
        <f>IF($A48="","",IF(AN48="","NOT REVIEWED",IF(TODAY()-AN48&gt;90,"OVERDUE",IF(TODAY()-AN48&gt;76,"Due Soon","Current"))))</f>
        <v/>
      </c>
    </row>
    <row r="49" ht="15" customHeight="1" s="39">
      <c r="A49" s="61" t="n"/>
      <c r="B49" s="60" t="n"/>
      <c r="C49" s="61" t="n"/>
      <c r="D49" s="60" t="n"/>
      <c r="E49" s="60" t="n"/>
      <c r="F49" s="62" t="n"/>
      <c r="G49" s="62" t="n"/>
      <c r="H49" s="60" t="n"/>
      <c r="I49" s="60" t="n"/>
      <c r="J49" s="61" t="n"/>
      <c r="K49" s="61" t="n"/>
      <c r="L49" s="61" t="n"/>
      <c r="M49" s="60" t="n"/>
      <c r="N49" s="60" t="n"/>
      <c r="O49" s="60" t="n"/>
      <c r="P49" s="61" t="n"/>
      <c r="Q49" s="60" t="n"/>
      <c r="R49" s="60" t="n"/>
      <c r="S49" s="60" t="n"/>
      <c r="T49" s="61" t="n"/>
      <c r="U49" s="61" t="n"/>
      <c r="V49" s="60" t="n"/>
      <c r="W49" s="60" t="n"/>
      <c r="X49" s="60" t="n"/>
      <c r="Y49" s="60" t="n"/>
      <c r="Z49" s="61" t="n"/>
      <c r="AA49" s="60" t="n"/>
      <c r="AB49" s="60" t="n"/>
      <c r="AC49" s="60" t="n"/>
      <c r="AD49" s="60" t="n"/>
      <c r="AE49" s="63">
        <f>IF($G49="","",TODAY()-$G49)</f>
        <v/>
      </c>
      <c r="AF49" s="63">
        <f>IF($A49="","",IF($M49&gt;0,"Yes","No"))</f>
        <v/>
      </c>
      <c r="AG49" s="63">
        <f>IF($A49="","",IF(AND($E49="Yes",OR($AA49="No",$AA49="NOT FOUND")),"YES",""))</f>
        <v/>
      </c>
      <c r="AH49" s="66">
        <f>IF($A49="","",TRIM(IF(AND($Y49=0,$I49&lt;&gt;"Yes"),"T0-NoPhishResistant ","")&amp;IF($H49="No","NoMFA ","")&amp;IF(AND($Y49=0,$M49&gt;0),"T0-Standing ","")&amp;IF(AND($Y49=0,$S49="Group only"),"T0-ViaGroupOnly ","")&amp;IF($R49="Yes","BroadAzureScope ","")&amp;IF(AND($E49="Yes",$G49=""),"NeverSignedIn ","")))</f>
        <v/>
      </c>
      <c r="AI49" s="60" t="n"/>
      <c r="AJ49" s="61" t="n"/>
      <c r="AK49" s="60" t="n"/>
      <c r="AL49" s="62" t="n"/>
      <c r="AM49" s="62" t="n"/>
      <c r="AN49" s="62" t="n"/>
      <c r="AO49" s="60" t="n"/>
      <c r="AP49" s="61" t="n"/>
      <c r="AQ49" s="63">
        <f>IF($A49="","",IF(AM49="","Not Enrolled",IF(TODAY()&gt;AM49,"Review Overdue",IF(AM49-TODAY()&lt;=30,"Review Due Soon","Active"))))</f>
        <v/>
      </c>
      <c r="AR49" s="63">
        <f>IF($A49="","",IF(AN49="","NOT REVIEWED",IF(TODAY()-AN49&gt;90,"OVERDUE",IF(TODAY()-AN49&gt;76,"Due Soon","Current"))))</f>
        <v/>
      </c>
    </row>
    <row r="50" ht="15" customHeight="1" s="39">
      <c r="A50" s="61" t="n"/>
      <c r="B50" s="60" t="n"/>
      <c r="C50" s="61" t="n"/>
      <c r="D50" s="60" t="n"/>
      <c r="E50" s="60" t="n"/>
      <c r="F50" s="62" t="n"/>
      <c r="G50" s="62" t="n"/>
      <c r="H50" s="60" t="n"/>
      <c r="I50" s="60" t="n"/>
      <c r="J50" s="61" t="n"/>
      <c r="K50" s="61" t="n"/>
      <c r="L50" s="61" t="n"/>
      <c r="M50" s="60" t="n"/>
      <c r="N50" s="60" t="n"/>
      <c r="O50" s="60" t="n"/>
      <c r="P50" s="61" t="n"/>
      <c r="Q50" s="60" t="n"/>
      <c r="R50" s="60" t="n"/>
      <c r="S50" s="60" t="n"/>
      <c r="T50" s="61" t="n"/>
      <c r="U50" s="61" t="n"/>
      <c r="V50" s="60" t="n"/>
      <c r="W50" s="60" t="n"/>
      <c r="X50" s="60" t="n"/>
      <c r="Y50" s="60" t="n"/>
      <c r="Z50" s="61" t="n"/>
      <c r="AA50" s="60" t="n"/>
      <c r="AB50" s="60" t="n"/>
      <c r="AC50" s="60" t="n"/>
      <c r="AD50" s="60" t="n"/>
      <c r="AE50" s="63">
        <f>IF($G50="","",TODAY()-$G50)</f>
        <v/>
      </c>
      <c r="AF50" s="63">
        <f>IF($A50="","",IF($M50&gt;0,"Yes","No"))</f>
        <v/>
      </c>
      <c r="AG50" s="63">
        <f>IF($A50="","",IF(AND($E50="Yes",OR($AA50="No",$AA50="NOT FOUND")),"YES",""))</f>
        <v/>
      </c>
      <c r="AH50" s="66">
        <f>IF($A50="","",TRIM(IF(AND($Y50=0,$I50&lt;&gt;"Yes"),"T0-NoPhishResistant ","")&amp;IF($H50="No","NoMFA ","")&amp;IF(AND($Y50=0,$M50&gt;0),"T0-Standing ","")&amp;IF(AND($Y50=0,$S50="Group only"),"T0-ViaGroupOnly ","")&amp;IF($R50="Yes","BroadAzureScope ","")&amp;IF(AND($E50="Yes",$G50=""),"NeverSignedIn ","")))</f>
        <v/>
      </c>
      <c r="AI50" s="60" t="n"/>
      <c r="AJ50" s="61" t="n"/>
      <c r="AK50" s="60" t="n"/>
      <c r="AL50" s="62" t="n"/>
      <c r="AM50" s="62" t="n"/>
      <c r="AN50" s="62" t="n"/>
      <c r="AO50" s="60" t="n"/>
      <c r="AP50" s="61" t="n"/>
      <c r="AQ50" s="63">
        <f>IF($A50="","",IF(AM50="","Not Enrolled",IF(TODAY()&gt;AM50,"Review Overdue",IF(AM50-TODAY()&lt;=30,"Review Due Soon","Active"))))</f>
        <v/>
      </c>
      <c r="AR50" s="63">
        <f>IF($A50="","",IF(AN50="","NOT REVIEWED",IF(TODAY()-AN50&gt;90,"OVERDUE",IF(TODAY()-AN50&gt;76,"Due Soon","Current"))))</f>
        <v/>
      </c>
    </row>
    <row r="51" ht="15" customHeight="1" s="39">
      <c r="A51" s="61" t="n"/>
      <c r="B51" s="60" t="n"/>
      <c r="C51" s="61" t="n"/>
      <c r="D51" s="60" t="n"/>
      <c r="E51" s="60" t="n"/>
      <c r="F51" s="62" t="n"/>
      <c r="G51" s="62" t="n"/>
      <c r="H51" s="60" t="n"/>
      <c r="I51" s="60" t="n"/>
      <c r="J51" s="61" t="n"/>
      <c r="K51" s="61" t="n"/>
      <c r="L51" s="61" t="n"/>
      <c r="M51" s="60" t="n"/>
      <c r="N51" s="60" t="n"/>
      <c r="O51" s="60" t="n"/>
      <c r="P51" s="61" t="n"/>
      <c r="Q51" s="60" t="n"/>
      <c r="R51" s="60" t="n"/>
      <c r="S51" s="60" t="n"/>
      <c r="T51" s="61" t="n"/>
      <c r="U51" s="61" t="n"/>
      <c r="V51" s="60" t="n"/>
      <c r="W51" s="60" t="n"/>
      <c r="X51" s="60" t="n"/>
      <c r="Y51" s="60" t="n"/>
      <c r="Z51" s="61" t="n"/>
      <c r="AA51" s="60" t="n"/>
      <c r="AB51" s="60" t="n"/>
      <c r="AC51" s="60" t="n"/>
      <c r="AD51" s="60" t="n"/>
      <c r="AE51" s="63">
        <f>IF($G51="","",TODAY()-$G51)</f>
        <v/>
      </c>
      <c r="AF51" s="63">
        <f>IF($A51="","",IF($M51&gt;0,"Yes","No"))</f>
        <v/>
      </c>
      <c r="AG51" s="63">
        <f>IF($A51="","",IF(AND($E51="Yes",OR($AA51="No",$AA51="NOT FOUND")),"YES",""))</f>
        <v/>
      </c>
      <c r="AH51" s="66">
        <f>IF($A51="","",TRIM(IF(AND($Y51=0,$I51&lt;&gt;"Yes"),"T0-NoPhishResistant ","")&amp;IF($H51="No","NoMFA ","")&amp;IF(AND($Y51=0,$M51&gt;0),"T0-Standing ","")&amp;IF(AND($Y51=0,$S51="Group only"),"T0-ViaGroupOnly ","")&amp;IF($R51="Yes","BroadAzureScope ","")&amp;IF(AND($E51="Yes",$G51=""),"NeverSignedIn ","")))</f>
        <v/>
      </c>
      <c r="AI51" s="60" t="n"/>
      <c r="AJ51" s="61" t="n"/>
      <c r="AK51" s="60" t="n"/>
      <c r="AL51" s="62" t="n"/>
      <c r="AM51" s="62" t="n"/>
      <c r="AN51" s="62" t="n"/>
      <c r="AO51" s="60" t="n"/>
      <c r="AP51" s="61" t="n"/>
      <c r="AQ51" s="63">
        <f>IF($A51="","",IF(AM51="","Not Enrolled",IF(TODAY()&gt;AM51,"Review Overdue",IF(AM51-TODAY()&lt;=30,"Review Due Soon","Active"))))</f>
        <v/>
      </c>
      <c r="AR51" s="63">
        <f>IF($A51="","",IF(AN51="","NOT REVIEWED",IF(TODAY()-AN51&gt;90,"OVERDUE",IF(TODAY()-AN51&gt;76,"Due Soon","Current"))))</f>
        <v/>
      </c>
    </row>
    <row r="52" ht="15" customHeight="1" s="39">
      <c r="A52" s="61" t="n"/>
      <c r="B52" s="60" t="n"/>
      <c r="C52" s="61" t="n"/>
      <c r="D52" s="60" t="n"/>
      <c r="E52" s="60" t="n"/>
      <c r="F52" s="62" t="n"/>
      <c r="G52" s="62" t="n"/>
      <c r="H52" s="60" t="n"/>
      <c r="I52" s="60" t="n"/>
      <c r="J52" s="61" t="n"/>
      <c r="K52" s="61" t="n"/>
      <c r="L52" s="61" t="n"/>
      <c r="M52" s="60" t="n"/>
      <c r="N52" s="60" t="n"/>
      <c r="O52" s="60" t="n"/>
      <c r="P52" s="61" t="n"/>
      <c r="Q52" s="60" t="n"/>
      <c r="R52" s="60" t="n"/>
      <c r="S52" s="60" t="n"/>
      <c r="T52" s="61" t="n"/>
      <c r="U52" s="61" t="n"/>
      <c r="V52" s="60" t="n"/>
      <c r="W52" s="60" t="n"/>
      <c r="X52" s="60" t="n"/>
      <c r="Y52" s="60" t="n"/>
      <c r="Z52" s="61" t="n"/>
      <c r="AA52" s="60" t="n"/>
      <c r="AB52" s="60" t="n"/>
      <c r="AC52" s="60" t="n"/>
      <c r="AD52" s="60" t="n"/>
      <c r="AE52" s="63">
        <f>IF($G52="","",TODAY()-$G52)</f>
        <v/>
      </c>
      <c r="AF52" s="63">
        <f>IF($A52="","",IF($M52&gt;0,"Yes","No"))</f>
        <v/>
      </c>
      <c r="AG52" s="63">
        <f>IF($A52="","",IF(AND($E52="Yes",OR($AA52="No",$AA52="NOT FOUND")),"YES",""))</f>
        <v/>
      </c>
      <c r="AH52" s="66">
        <f>IF($A52="","",TRIM(IF(AND($Y52=0,$I52&lt;&gt;"Yes"),"T0-NoPhishResistant ","")&amp;IF($H52="No","NoMFA ","")&amp;IF(AND($Y52=0,$M52&gt;0),"T0-Standing ","")&amp;IF(AND($Y52=0,$S52="Group only"),"T0-ViaGroupOnly ","")&amp;IF($R52="Yes","BroadAzureScope ","")&amp;IF(AND($E52="Yes",$G52=""),"NeverSignedIn ","")))</f>
        <v/>
      </c>
      <c r="AI52" s="60" t="n"/>
      <c r="AJ52" s="61" t="n"/>
      <c r="AK52" s="60" t="n"/>
      <c r="AL52" s="62" t="n"/>
      <c r="AM52" s="62" t="n"/>
      <c r="AN52" s="62" t="n"/>
      <c r="AO52" s="60" t="n"/>
      <c r="AP52" s="61" t="n"/>
      <c r="AQ52" s="63">
        <f>IF($A52="","",IF(AM52="","Not Enrolled",IF(TODAY()&gt;AM52,"Review Overdue",IF(AM52-TODAY()&lt;=30,"Review Due Soon","Active"))))</f>
        <v/>
      </c>
      <c r="AR52" s="63">
        <f>IF($A52="","",IF(AN52="","NOT REVIEWED",IF(TODAY()-AN52&gt;90,"OVERDUE",IF(TODAY()-AN52&gt;76,"Due Soon","Current"))))</f>
        <v/>
      </c>
    </row>
    <row r="53" ht="15" customHeight="1" s="39">
      <c r="A53" s="61" t="n"/>
      <c r="B53" s="60" t="n"/>
      <c r="C53" s="61" t="n"/>
      <c r="D53" s="60" t="n"/>
      <c r="E53" s="60" t="n"/>
      <c r="F53" s="62" t="n"/>
      <c r="G53" s="62" t="n"/>
      <c r="H53" s="60" t="n"/>
      <c r="I53" s="60" t="n"/>
      <c r="J53" s="61" t="n"/>
      <c r="K53" s="61" t="n"/>
      <c r="L53" s="61" t="n"/>
      <c r="M53" s="60" t="n"/>
      <c r="N53" s="60" t="n"/>
      <c r="O53" s="60" t="n"/>
      <c r="P53" s="61" t="n"/>
      <c r="Q53" s="60" t="n"/>
      <c r="R53" s="60" t="n"/>
      <c r="S53" s="60" t="n"/>
      <c r="T53" s="61" t="n"/>
      <c r="U53" s="61" t="n"/>
      <c r="V53" s="60" t="n"/>
      <c r="W53" s="60" t="n"/>
      <c r="X53" s="60" t="n"/>
      <c r="Y53" s="60" t="n"/>
      <c r="Z53" s="61" t="n"/>
      <c r="AA53" s="60" t="n"/>
      <c r="AB53" s="60" t="n"/>
      <c r="AC53" s="60" t="n"/>
      <c r="AD53" s="60" t="n"/>
      <c r="AE53" s="63">
        <f>IF($G53="","",TODAY()-$G53)</f>
        <v/>
      </c>
      <c r="AF53" s="63">
        <f>IF($A53="","",IF($M53&gt;0,"Yes","No"))</f>
        <v/>
      </c>
      <c r="AG53" s="63">
        <f>IF($A53="","",IF(AND($E53="Yes",OR($AA53="No",$AA53="NOT FOUND")),"YES",""))</f>
        <v/>
      </c>
      <c r="AH53" s="66">
        <f>IF($A53="","",TRIM(IF(AND($Y53=0,$I53&lt;&gt;"Yes"),"T0-NoPhishResistant ","")&amp;IF($H53="No","NoMFA ","")&amp;IF(AND($Y53=0,$M53&gt;0),"T0-Standing ","")&amp;IF(AND($Y53=0,$S53="Group only"),"T0-ViaGroupOnly ","")&amp;IF($R53="Yes","BroadAzureScope ","")&amp;IF(AND($E53="Yes",$G53=""),"NeverSignedIn ","")))</f>
        <v/>
      </c>
      <c r="AI53" s="60" t="n"/>
      <c r="AJ53" s="61" t="n"/>
      <c r="AK53" s="60" t="n"/>
      <c r="AL53" s="62" t="n"/>
      <c r="AM53" s="62" t="n"/>
      <c r="AN53" s="62" t="n"/>
      <c r="AO53" s="60" t="n"/>
      <c r="AP53" s="61" t="n"/>
      <c r="AQ53" s="63">
        <f>IF($A53="","",IF(AM53="","Not Enrolled",IF(TODAY()&gt;AM53,"Review Overdue",IF(AM53-TODAY()&lt;=30,"Review Due Soon","Active"))))</f>
        <v/>
      </c>
      <c r="AR53" s="63">
        <f>IF($A53="","",IF(AN53="","NOT REVIEWED",IF(TODAY()-AN53&gt;90,"OVERDUE",IF(TODAY()-AN53&gt;76,"Due Soon","Current"))))</f>
        <v/>
      </c>
    </row>
    <row r="54" ht="15" customHeight="1" s="39">
      <c r="A54" s="61" t="n"/>
      <c r="B54" s="60" t="n"/>
      <c r="C54" s="61" t="n"/>
      <c r="D54" s="60" t="n"/>
      <c r="E54" s="60" t="n"/>
      <c r="F54" s="62" t="n"/>
      <c r="G54" s="62" t="n"/>
      <c r="H54" s="60" t="n"/>
      <c r="I54" s="60" t="n"/>
      <c r="J54" s="61" t="n"/>
      <c r="K54" s="61" t="n"/>
      <c r="L54" s="61" t="n"/>
      <c r="M54" s="60" t="n"/>
      <c r="N54" s="60" t="n"/>
      <c r="O54" s="60" t="n"/>
      <c r="P54" s="61" t="n"/>
      <c r="Q54" s="60" t="n"/>
      <c r="R54" s="60" t="n"/>
      <c r="S54" s="60" t="n"/>
      <c r="T54" s="61" t="n"/>
      <c r="U54" s="61" t="n"/>
      <c r="V54" s="60" t="n"/>
      <c r="W54" s="60" t="n"/>
      <c r="X54" s="60" t="n"/>
      <c r="Y54" s="60" t="n"/>
      <c r="Z54" s="61" t="n"/>
      <c r="AA54" s="60" t="n"/>
      <c r="AB54" s="60" t="n"/>
      <c r="AC54" s="60" t="n"/>
      <c r="AD54" s="60" t="n"/>
      <c r="AE54" s="63">
        <f>IF($G54="","",TODAY()-$G54)</f>
        <v/>
      </c>
      <c r="AF54" s="63">
        <f>IF($A54="","",IF($M54&gt;0,"Yes","No"))</f>
        <v/>
      </c>
      <c r="AG54" s="63">
        <f>IF($A54="","",IF(AND($E54="Yes",OR($AA54="No",$AA54="NOT FOUND")),"YES",""))</f>
        <v/>
      </c>
      <c r="AH54" s="66">
        <f>IF($A54="","",TRIM(IF(AND($Y54=0,$I54&lt;&gt;"Yes"),"T0-NoPhishResistant ","")&amp;IF($H54="No","NoMFA ","")&amp;IF(AND($Y54=0,$M54&gt;0),"T0-Standing ","")&amp;IF(AND($Y54=0,$S54="Group only"),"T0-ViaGroupOnly ","")&amp;IF($R54="Yes","BroadAzureScope ","")&amp;IF(AND($E54="Yes",$G54=""),"NeverSignedIn ","")))</f>
        <v/>
      </c>
      <c r="AI54" s="60" t="n"/>
      <c r="AJ54" s="61" t="n"/>
      <c r="AK54" s="60" t="n"/>
      <c r="AL54" s="62" t="n"/>
      <c r="AM54" s="62" t="n"/>
      <c r="AN54" s="62" t="n"/>
      <c r="AO54" s="60" t="n"/>
      <c r="AP54" s="61" t="n"/>
      <c r="AQ54" s="63">
        <f>IF($A54="","",IF(AM54="","Not Enrolled",IF(TODAY()&gt;AM54,"Review Overdue",IF(AM54-TODAY()&lt;=30,"Review Due Soon","Active"))))</f>
        <v/>
      </c>
      <c r="AR54" s="63">
        <f>IF($A54="","",IF(AN54="","NOT REVIEWED",IF(TODAY()-AN54&gt;90,"OVERDUE",IF(TODAY()-AN54&gt;76,"Due Soon","Current"))))</f>
        <v/>
      </c>
    </row>
    <row r="55" ht="15" customHeight="1" s="39">
      <c r="A55" s="61" t="n"/>
      <c r="B55" s="60" t="n"/>
      <c r="C55" s="61" t="n"/>
      <c r="D55" s="60" t="n"/>
      <c r="E55" s="60" t="n"/>
      <c r="F55" s="62" t="n"/>
      <c r="G55" s="62" t="n"/>
      <c r="H55" s="60" t="n"/>
      <c r="I55" s="60" t="n"/>
      <c r="J55" s="61" t="n"/>
      <c r="K55" s="61" t="n"/>
      <c r="L55" s="61" t="n"/>
      <c r="M55" s="60" t="n"/>
      <c r="N55" s="60" t="n"/>
      <c r="O55" s="60" t="n"/>
      <c r="P55" s="61" t="n"/>
      <c r="Q55" s="60" t="n"/>
      <c r="R55" s="60" t="n"/>
      <c r="S55" s="60" t="n"/>
      <c r="T55" s="61" t="n"/>
      <c r="U55" s="61" t="n"/>
      <c r="V55" s="60" t="n"/>
      <c r="W55" s="60" t="n"/>
      <c r="X55" s="60" t="n"/>
      <c r="Y55" s="60" t="n"/>
      <c r="Z55" s="61" t="n"/>
      <c r="AA55" s="60" t="n"/>
      <c r="AB55" s="60" t="n"/>
      <c r="AC55" s="60" t="n"/>
      <c r="AD55" s="60" t="n"/>
      <c r="AE55" s="63">
        <f>IF($G55="","",TODAY()-$G55)</f>
        <v/>
      </c>
      <c r="AF55" s="63">
        <f>IF($A55="","",IF($M55&gt;0,"Yes","No"))</f>
        <v/>
      </c>
      <c r="AG55" s="63">
        <f>IF($A55="","",IF(AND($E55="Yes",OR($AA55="No",$AA55="NOT FOUND")),"YES",""))</f>
        <v/>
      </c>
      <c r="AH55" s="66">
        <f>IF($A55="","",TRIM(IF(AND($Y55=0,$I55&lt;&gt;"Yes"),"T0-NoPhishResistant ","")&amp;IF($H55="No","NoMFA ","")&amp;IF(AND($Y55=0,$M55&gt;0),"T0-Standing ","")&amp;IF(AND($Y55=0,$S55="Group only"),"T0-ViaGroupOnly ","")&amp;IF($R55="Yes","BroadAzureScope ","")&amp;IF(AND($E55="Yes",$G55=""),"NeverSignedIn ","")))</f>
        <v/>
      </c>
      <c r="AI55" s="60" t="n"/>
      <c r="AJ55" s="61" t="n"/>
      <c r="AK55" s="60" t="n"/>
      <c r="AL55" s="62" t="n"/>
      <c r="AM55" s="62" t="n"/>
      <c r="AN55" s="62" t="n"/>
      <c r="AO55" s="60" t="n"/>
      <c r="AP55" s="61" t="n"/>
      <c r="AQ55" s="63">
        <f>IF($A55="","",IF(AM55="","Not Enrolled",IF(TODAY()&gt;AM55,"Review Overdue",IF(AM55-TODAY()&lt;=30,"Review Due Soon","Active"))))</f>
        <v/>
      </c>
      <c r="AR55" s="63">
        <f>IF($A55="","",IF(AN55="","NOT REVIEWED",IF(TODAY()-AN55&gt;90,"OVERDUE",IF(TODAY()-AN55&gt;76,"Due Soon","Current"))))</f>
        <v/>
      </c>
    </row>
    <row r="56" ht="15" customHeight="1" s="39">
      <c r="A56" s="61" t="n"/>
      <c r="B56" s="60" t="n"/>
      <c r="C56" s="61" t="n"/>
      <c r="D56" s="60" t="n"/>
      <c r="E56" s="60" t="n"/>
      <c r="F56" s="62" t="n"/>
      <c r="G56" s="62" t="n"/>
      <c r="H56" s="60" t="n"/>
      <c r="I56" s="60" t="n"/>
      <c r="J56" s="61" t="n"/>
      <c r="K56" s="61" t="n"/>
      <c r="L56" s="61" t="n"/>
      <c r="M56" s="60" t="n"/>
      <c r="N56" s="60" t="n"/>
      <c r="O56" s="60" t="n"/>
      <c r="P56" s="61" t="n"/>
      <c r="Q56" s="60" t="n"/>
      <c r="R56" s="60" t="n"/>
      <c r="S56" s="60" t="n"/>
      <c r="T56" s="61" t="n"/>
      <c r="U56" s="61" t="n"/>
      <c r="V56" s="60" t="n"/>
      <c r="W56" s="60" t="n"/>
      <c r="X56" s="60" t="n"/>
      <c r="Y56" s="60" t="n"/>
      <c r="Z56" s="61" t="n"/>
      <c r="AA56" s="60" t="n"/>
      <c r="AB56" s="60" t="n"/>
      <c r="AC56" s="60" t="n"/>
      <c r="AD56" s="60" t="n"/>
      <c r="AE56" s="63">
        <f>IF($G56="","",TODAY()-$G56)</f>
        <v/>
      </c>
      <c r="AF56" s="63">
        <f>IF($A56="","",IF($M56&gt;0,"Yes","No"))</f>
        <v/>
      </c>
      <c r="AG56" s="63">
        <f>IF($A56="","",IF(AND($E56="Yes",OR($AA56="No",$AA56="NOT FOUND")),"YES",""))</f>
        <v/>
      </c>
      <c r="AH56" s="66">
        <f>IF($A56="","",TRIM(IF(AND($Y56=0,$I56&lt;&gt;"Yes"),"T0-NoPhishResistant ","")&amp;IF($H56="No","NoMFA ","")&amp;IF(AND($Y56=0,$M56&gt;0),"T0-Standing ","")&amp;IF(AND($Y56=0,$S56="Group only"),"T0-ViaGroupOnly ","")&amp;IF($R56="Yes","BroadAzureScope ","")&amp;IF(AND($E56="Yes",$G56=""),"NeverSignedIn ","")))</f>
        <v/>
      </c>
      <c r="AI56" s="60" t="n"/>
      <c r="AJ56" s="61" t="n"/>
      <c r="AK56" s="60" t="n"/>
      <c r="AL56" s="62" t="n"/>
      <c r="AM56" s="62" t="n"/>
      <c r="AN56" s="62" t="n"/>
      <c r="AO56" s="60" t="n"/>
      <c r="AP56" s="61" t="n"/>
      <c r="AQ56" s="63">
        <f>IF($A56="","",IF(AM56="","Not Enrolled",IF(TODAY()&gt;AM56,"Review Overdue",IF(AM56-TODAY()&lt;=30,"Review Due Soon","Active"))))</f>
        <v/>
      </c>
      <c r="AR56" s="63">
        <f>IF($A56="","",IF(AN56="","NOT REVIEWED",IF(TODAY()-AN56&gt;90,"OVERDUE",IF(TODAY()-AN56&gt;76,"Due Soon","Current"))))</f>
        <v/>
      </c>
    </row>
    <row r="57" ht="15" customHeight="1" s="39">
      <c r="A57" s="61" t="n"/>
      <c r="B57" s="60" t="n"/>
      <c r="C57" s="61" t="n"/>
      <c r="D57" s="60" t="n"/>
      <c r="E57" s="60" t="n"/>
      <c r="F57" s="62" t="n"/>
      <c r="G57" s="62" t="n"/>
      <c r="H57" s="60" t="n"/>
      <c r="I57" s="60" t="n"/>
      <c r="J57" s="61" t="n"/>
      <c r="K57" s="61" t="n"/>
      <c r="L57" s="61" t="n"/>
      <c r="M57" s="60" t="n"/>
      <c r="N57" s="60" t="n"/>
      <c r="O57" s="60" t="n"/>
      <c r="P57" s="61" t="n"/>
      <c r="Q57" s="60" t="n"/>
      <c r="R57" s="60" t="n"/>
      <c r="S57" s="60" t="n"/>
      <c r="T57" s="61" t="n"/>
      <c r="U57" s="61" t="n"/>
      <c r="V57" s="60" t="n"/>
      <c r="W57" s="60" t="n"/>
      <c r="X57" s="60" t="n"/>
      <c r="Y57" s="60" t="n"/>
      <c r="Z57" s="61" t="n"/>
      <c r="AA57" s="60" t="n"/>
      <c r="AB57" s="60" t="n"/>
      <c r="AC57" s="60" t="n"/>
      <c r="AD57" s="60" t="n"/>
      <c r="AE57" s="63">
        <f>IF($G57="","",TODAY()-$G57)</f>
        <v/>
      </c>
      <c r="AF57" s="63">
        <f>IF($A57="","",IF($M57&gt;0,"Yes","No"))</f>
        <v/>
      </c>
      <c r="AG57" s="63">
        <f>IF($A57="","",IF(AND($E57="Yes",OR($AA57="No",$AA57="NOT FOUND")),"YES",""))</f>
        <v/>
      </c>
      <c r="AH57" s="66">
        <f>IF($A57="","",TRIM(IF(AND($Y57=0,$I57&lt;&gt;"Yes"),"T0-NoPhishResistant ","")&amp;IF($H57="No","NoMFA ","")&amp;IF(AND($Y57=0,$M57&gt;0),"T0-Standing ","")&amp;IF(AND($Y57=0,$S57="Group only"),"T0-ViaGroupOnly ","")&amp;IF($R57="Yes","BroadAzureScope ","")&amp;IF(AND($E57="Yes",$G57=""),"NeverSignedIn ","")))</f>
        <v/>
      </c>
      <c r="AI57" s="60" t="n"/>
      <c r="AJ57" s="61" t="n"/>
      <c r="AK57" s="60" t="n"/>
      <c r="AL57" s="62" t="n"/>
      <c r="AM57" s="62" t="n"/>
      <c r="AN57" s="62" t="n"/>
      <c r="AO57" s="60" t="n"/>
      <c r="AP57" s="61" t="n"/>
      <c r="AQ57" s="63">
        <f>IF($A57="","",IF(AM57="","Not Enrolled",IF(TODAY()&gt;AM57,"Review Overdue",IF(AM57-TODAY()&lt;=30,"Review Due Soon","Active"))))</f>
        <v/>
      </c>
      <c r="AR57" s="63">
        <f>IF($A57="","",IF(AN57="","NOT REVIEWED",IF(TODAY()-AN57&gt;90,"OVERDUE",IF(TODAY()-AN57&gt;76,"Due Soon","Current"))))</f>
        <v/>
      </c>
    </row>
    <row r="58" ht="15" customHeight="1" s="39">
      <c r="A58" s="61" t="n"/>
      <c r="B58" s="60" t="n"/>
      <c r="C58" s="61" t="n"/>
      <c r="D58" s="60" t="n"/>
      <c r="E58" s="60" t="n"/>
      <c r="F58" s="62" t="n"/>
      <c r="G58" s="62" t="n"/>
      <c r="H58" s="60" t="n"/>
      <c r="I58" s="60" t="n"/>
      <c r="J58" s="61" t="n"/>
      <c r="K58" s="61" t="n"/>
      <c r="L58" s="61" t="n"/>
      <c r="M58" s="60" t="n"/>
      <c r="N58" s="60" t="n"/>
      <c r="O58" s="60" t="n"/>
      <c r="P58" s="61" t="n"/>
      <c r="Q58" s="60" t="n"/>
      <c r="R58" s="60" t="n"/>
      <c r="S58" s="60" t="n"/>
      <c r="T58" s="61" t="n"/>
      <c r="U58" s="61" t="n"/>
      <c r="V58" s="60" t="n"/>
      <c r="W58" s="60" t="n"/>
      <c r="X58" s="60" t="n"/>
      <c r="Y58" s="60" t="n"/>
      <c r="Z58" s="61" t="n"/>
      <c r="AA58" s="60" t="n"/>
      <c r="AB58" s="60" t="n"/>
      <c r="AC58" s="60" t="n"/>
      <c r="AD58" s="60" t="n"/>
      <c r="AE58" s="63">
        <f>IF($G58="","",TODAY()-$G58)</f>
        <v/>
      </c>
      <c r="AF58" s="63">
        <f>IF($A58="","",IF($M58&gt;0,"Yes","No"))</f>
        <v/>
      </c>
      <c r="AG58" s="63">
        <f>IF($A58="","",IF(AND($E58="Yes",OR($AA58="No",$AA58="NOT FOUND")),"YES",""))</f>
        <v/>
      </c>
      <c r="AH58" s="66">
        <f>IF($A58="","",TRIM(IF(AND($Y58=0,$I58&lt;&gt;"Yes"),"T0-NoPhishResistant ","")&amp;IF($H58="No","NoMFA ","")&amp;IF(AND($Y58=0,$M58&gt;0),"T0-Standing ","")&amp;IF(AND($Y58=0,$S58="Group only"),"T0-ViaGroupOnly ","")&amp;IF($R58="Yes","BroadAzureScope ","")&amp;IF(AND($E58="Yes",$G58=""),"NeverSignedIn ","")))</f>
        <v/>
      </c>
      <c r="AI58" s="60" t="n"/>
      <c r="AJ58" s="61" t="n"/>
      <c r="AK58" s="60" t="n"/>
      <c r="AL58" s="62" t="n"/>
      <c r="AM58" s="62" t="n"/>
      <c r="AN58" s="62" t="n"/>
      <c r="AO58" s="60" t="n"/>
      <c r="AP58" s="61" t="n"/>
      <c r="AQ58" s="63">
        <f>IF($A58="","",IF(AM58="","Not Enrolled",IF(TODAY()&gt;AM58,"Review Overdue",IF(AM58-TODAY()&lt;=30,"Review Due Soon","Active"))))</f>
        <v/>
      </c>
      <c r="AR58" s="63">
        <f>IF($A58="","",IF(AN58="","NOT REVIEWED",IF(TODAY()-AN58&gt;90,"OVERDUE",IF(TODAY()-AN58&gt;76,"Due Soon","Current"))))</f>
        <v/>
      </c>
    </row>
    <row r="59" ht="15" customHeight="1" s="39">
      <c r="A59" s="61" t="n"/>
      <c r="B59" s="60" t="n"/>
      <c r="C59" s="61" t="n"/>
      <c r="D59" s="60" t="n"/>
      <c r="E59" s="60" t="n"/>
      <c r="F59" s="62" t="n"/>
      <c r="G59" s="62" t="n"/>
      <c r="H59" s="60" t="n"/>
      <c r="I59" s="60" t="n"/>
      <c r="J59" s="61" t="n"/>
      <c r="K59" s="61" t="n"/>
      <c r="L59" s="61" t="n"/>
      <c r="M59" s="60" t="n"/>
      <c r="N59" s="60" t="n"/>
      <c r="O59" s="60" t="n"/>
      <c r="P59" s="61" t="n"/>
      <c r="Q59" s="60" t="n"/>
      <c r="R59" s="60" t="n"/>
      <c r="S59" s="60" t="n"/>
      <c r="T59" s="61" t="n"/>
      <c r="U59" s="61" t="n"/>
      <c r="V59" s="60" t="n"/>
      <c r="W59" s="60" t="n"/>
      <c r="X59" s="60" t="n"/>
      <c r="Y59" s="60" t="n"/>
      <c r="Z59" s="61" t="n"/>
      <c r="AA59" s="60" t="n"/>
      <c r="AB59" s="60" t="n"/>
      <c r="AC59" s="60" t="n"/>
      <c r="AD59" s="60" t="n"/>
      <c r="AE59" s="63">
        <f>IF($G59="","",TODAY()-$G59)</f>
        <v/>
      </c>
      <c r="AF59" s="63">
        <f>IF($A59="","",IF($M59&gt;0,"Yes","No"))</f>
        <v/>
      </c>
      <c r="AG59" s="63">
        <f>IF($A59="","",IF(AND($E59="Yes",OR($AA59="No",$AA59="NOT FOUND")),"YES",""))</f>
        <v/>
      </c>
      <c r="AH59" s="66">
        <f>IF($A59="","",TRIM(IF(AND($Y59=0,$I59&lt;&gt;"Yes"),"T0-NoPhishResistant ","")&amp;IF($H59="No","NoMFA ","")&amp;IF(AND($Y59=0,$M59&gt;0),"T0-Standing ","")&amp;IF(AND($Y59=0,$S59="Group only"),"T0-ViaGroupOnly ","")&amp;IF($R59="Yes","BroadAzureScope ","")&amp;IF(AND($E59="Yes",$G59=""),"NeverSignedIn ","")))</f>
        <v/>
      </c>
      <c r="AI59" s="60" t="n"/>
      <c r="AJ59" s="61" t="n"/>
      <c r="AK59" s="60" t="n"/>
      <c r="AL59" s="62" t="n"/>
      <c r="AM59" s="62" t="n"/>
      <c r="AN59" s="62" t="n"/>
      <c r="AO59" s="60" t="n"/>
      <c r="AP59" s="61" t="n"/>
      <c r="AQ59" s="63">
        <f>IF($A59="","",IF(AM59="","Not Enrolled",IF(TODAY()&gt;AM59,"Review Overdue",IF(AM59-TODAY()&lt;=30,"Review Due Soon","Active"))))</f>
        <v/>
      </c>
      <c r="AR59" s="63">
        <f>IF($A59="","",IF(AN59="","NOT REVIEWED",IF(TODAY()-AN59&gt;90,"OVERDUE",IF(TODAY()-AN59&gt;76,"Due Soon","Current"))))</f>
        <v/>
      </c>
    </row>
    <row r="60" ht="15" customHeight="1" s="39">
      <c r="A60" s="61" t="n"/>
      <c r="B60" s="60" t="n"/>
      <c r="C60" s="61" t="n"/>
      <c r="D60" s="60" t="n"/>
      <c r="E60" s="60" t="n"/>
      <c r="F60" s="62" t="n"/>
      <c r="G60" s="62" t="n"/>
      <c r="H60" s="60" t="n"/>
      <c r="I60" s="60" t="n"/>
      <c r="J60" s="61" t="n"/>
      <c r="K60" s="61" t="n"/>
      <c r="L60" s="61" t="n"/>
      <c r="M60" s="60" t="n"/>
      <c r="N60" s="60" t="n"/>
      <c r="O60" s="60" t="n"/>
      <c r="P60" s="61" t="n"/>
      <c r="Q60" s="60" t="n"/>
      <c r="R60" s="60" t="n"/>
      <c r="S60" s="60" t="n"/>
      <c r="T60" s="61" t="n"/>
      <c r="U60" s="61" t="n"/>
      <c r="V60" s="60" t="n"/>
      <c r="W60" s="60" t="n"/>
      <c r="X60" s="60" t="n"/>
      <c r="Y60" s="60" t="n"/>
      <c r="Z60" s="61" t="n"/>
      <c r="AA60" s="60" t="n"/>
      <c r="AB60" s="60" t="n"/>
      <c r="AC60" s="60" t="n"/>
      <c r="AD60" s="60" t="n"/>
      <c r="AE60" s="63">
        <f>IF($G60="","",TODAY()-$G60)</f>
        <v/>
      </c>
      <c r="AF60" s="63">
        <f>IF($A60="","",IF($M60&gt;0,"Yes","No"))</f>
        <v/>
      </c>
      <c r="AG60" s="63">
        <f>IF($A60="","",IF(AND($E60="Yes",OR($AA60="No",$AA60="NOT FOUND")),"YES",""))</f>
        <v/>
      </c>
      <c r="AH60" s="66">
        <f>IF($A60="","",TRIM(IF(AND($Y60=0,$I60&lt;&gt;"Yes"),"T0-NoPhishResistant ","")&amp;IF($H60="No","NoMFA ","")&amp;IF(AND($Y60=0,$M60&gt;0),"T0-Standing ","")&amp;IF(AND($Y60=0,$S60="Group only"),"T0-ViaGroupOnly ","")&amp;IF($R60="Yes","BroadAzureScope ","")&amp;IF(AND($E60="Yes",$G60=""),"NeverSignedIn ","")))</f>
        <v/>
      </c>
      <c r="AI60" s="60" t="n"/>
      <c r="AJ60" s="61" t="n"/>
      <c r="AK60" s="60" t="n"/>
      <c r="AL60" s="62" t="n"/>
      <c r="AM60" s="62" t="n"/>
      <c r="AN60" s="62" t="n"/>
      <c r="AO60" s="60" t="n"/>
      <c r="AP60" s="61" t="n"/>
      <c r="AQ60" s="63">
        <f>IF($A60="","",IF(AM60="","Not Enrolled",IF(TODAY()&gt;AM60,"Review Overdue",IF(AM60-TODAY()&lt;=30,"Review Due Soon","Active"))))</f>
        <v/>
      </c>
      <c r="AR60" s="63">
        <f>IF($A60="","",IF(AN60="","NOT REVIEWED",IF(TODAY()-AN60&gt;90,"OVERDUE",IF(TODAY()-AN60&gt;76,"Due Soon","Current"))))</f>
        <v/>
      </c>
    </row>
    <row r="61" ht="15" customHeight="1" s="39">
      <c r="A61" s="61" t="n"/>
      <c r="B61" s="60" t="n"/>
      <c r="C61" s="61" t="n"/>
      <c r="D61" s="60" t="n"/>
      <c r="E61" s="60" t="n"/>
      <c r="F61" s="62" t="n"/>
      <c r="G61" s="62" t="n"/>
      <c r="H61" s="60" t="n"/>
      <c r="I61" s="60" t="n"/>
      <c r="J61" s="61" t="n"/>
      <c r="K61" s="61" t="n"/>
      <c r="L61" s="61" t="n"/>
      <c r="M61" s="60" t="n"/>
      <c r="N61" s="60" t="n"/>
      <c r="O61" s="60" t="n"/>
      <c r="P61" s="61" t="n"/>
      <c r="Q61" s="60" t="n"/>
      <c r="R61" s="60" t="n"/>
      <c r="S61" s="60" t="n"/>
      <c r="T61" s="61" t="n"/>
      <c r="U61" s="61" t="n"/>
      <c r="V61" s="60" t="n"/>
      <c r="W61" s="60" t="n"/>
      <c r="X61" s="60" t="n"/>
      <c r="Y61" s="60" t="n"/>
      <c r="Z61" s="61" t="n"/>
      <c r="AA61" s="60" t="n"/>
      <c r="AB61" s="60" t="n"/>
      <c r="AC61" s="60" t="n"/>
      <c r="AD61" s="60" t="n"/>
      <c r="AE61" s="63">
        <f>IF($G61="","",TODAY()-$G61)</f>
        <v/>
      </c>
      <c r="AF61" s="63">
        <f>IF($A61="","",IF($M61&gt;0,"Yes","No"))</f>
        <v/>
      </c>
      <c r="AG61" s="63">
        <f>IF($A61="","",IF(AND($E61="Yes",OR($AA61="No",$AA61="NOT FOUND")),"YES",""))</f>
        <v/>
      </c>
      <c r="AH61" s="66">
        <f>IF($A61="","",TRIM(IF(AND($Y61=0,$I61&lt;&gt;"Yes"),"T0-NoPhishResistant ","")&amp;IF($H61="No","NoMFA ","")&amp;IF(AND($Y61=0,$M61&gt;0),"T0-Standing ","")&amp;IF(AND($Y61=0,$S61="Group only"),"T0-ViaGroupOnly ","")&amp;IF($R61="Yes","BroadAzureScope ","")&amp;IF(AND($E61="Yes",$G61=""),"NeverSignedIn ","")))</f>
        <v/>
      </c>
      <c r="AI61" s="60" t="n"/>
      <c r="AJ61" s="61" t="n"/>
      <c r="AK61" s="60" t="n"/>
      <c r="AL61" s="62" t="n"/>
      <c r="AM61" s="62" t="n"/>
      <c r="AN61" s="62" t="n"/>
      <c r="AO61" s="60" t="n"/>
      <c r="AP61" s="61" t="n"/>
      <c r="AQ61" s="63">
        <f>IF($A61="","",IF(AM61="","Not Enrolled",IF(TODAY()&gt;AM61,"Review Overdue",IF(AM61-TODAY()&lt;=30,"Review Due Soon","Active"))))</f>
        <v/>
      </c>
      <c r="AR61" s="63">
        <f>IF($A61="","",IF(AN61="","NOT REVIEWED",IF(TODAY()-AN61&gt;90,"OVERDUE",IF(TODAY()-AN61&gt;76,"Due Soon","Current"))))</f>
        <v/>
      </c>
    </row>
    <row r="62" ht="15" customHeight="1" s="39">
      <c r="A62" s="61" t="n"/>
      <c r="B62" s="60" t="n"/>
      <c r="C62" s="61" t="n"/>
      <c r="D62" s="60" t="n"/>
      <c r="E62" s="60" t="n"/>
      <c r="F62" s="62" t="n"/>
      <c r="G62" s="62" t="n"/>
      <c r="H62" s="60" t="n"/>
      <c r="I62" s="60" t="n"/>
      <c r="J62" s="61" t="n"/>
      <c r="K62" s="61" t="n"/>
      <c r="L62" s="61" t="n"/>
      <c r="M62" s="60" t="n"/>
      <c r="N62" s="60" t="n"/>
      <c r="O62" s="60" t="n"/>
      <c r="P62" s="61" t="n"/>
      <c r="Q62" s="60" t="n"/>
      <c r="R62" s="60" t="n"/>
      <c r="S62" s="60" t="n"/>
      <c r="T62" s="61" t="n"/>
      <c r="U62" s="61" t="n"/>
      <c r="V62" s="60" t="n"/>
      <c r="W62" s="60" t="n"/>
      <c r="X62" s="60" t="n"/>
      <c r="Y62" s="60" t="n"/>
      <c r="Z62" s="61" t="n"/>
      <c r="AA62" s="60" t="n"/>
      <c r="AB62" s="60" t="n"/>
      <c r="AC62" s="60" t="n"/>
      <c r="AD62" s="60" t="n"/>
      <c r="AE62" s="63">
        <f>IF($G62="","",TODAY()-$G62)</f>
        <v/>
      </c>
      <c r="AF62" s="63">
        <f>IF($A62="","",IF($M62&gt;0,"Yes","No"))</f>
        <v/>
      </c>
      <c r="AG62" s="63">
        <f>IF($A62="","",IF(AND($E62="Yes",OR($AA62="No",$AA62="NOT FOUND")),"YES",""))</f>
        <v/>
      </c>
      <c r="AH62" s="66">
        <f>IF($A62="","",TRIM(IF(AND($Y62=0,$I62&lt;&gt;"Yes"),"T0-NoPhishResistant ","")&amp;IF($H62="No","NoMFA ","")&amp;IF(AND($Y62=0,$M62&gt;0),"T0-Standing ","")&amp;IF(AND($Y62=0,$S62="Group only"),"T0-ViaGroupOnly ","")&amp;IF($R62="Yes","BroadAzureScope ","")&amp;IF(AND($E62="Yes",$G62=""),"NeverSignedIn ","")))</f>
        <v/>
      </c>
      <c r="AI62" s="60" t="n"/>
      <c r="AJ62" s="61" t="n"/>
      <c r="AK62" s="60" t="n"/>
      <c r="AL62" s="62" t="n"/>
      <c r="AM62" s="62" t="n"/>
      <c r="AN62" s="62" t="n"/>
      <c r="AO62" s="60" t="n"/>
      <c r="AP62" s="61" t="n"/>
      <c r="AQ62" s="63">
        <f>IF($A62="","",IF(AM62="","Not Enrolled",IF(TODAY()&gt;AM62,"Review Overdue",IF(AM62-TODAY()&lt;=30,"Review Due Soon","Active"))))</f>
        <v/>
      </c>
      <c r="AR62" s="63">
        <f>IF($A62="","",IF(AN62="","NOT REVIEWED",IF(TODAY()-AN62&gt;90,"OVERDUE",IF(TODAY()-AN62&gt;76,"Due Soon","Current"))))</f>
        <v/>
      </c>
    </row>
    <row r="63" ht="15" customHeight="1" s="39">
      <c r="A63" s="61" t="n"/>
      <c r="B63" s="60" t="n"/>
      <c r="C63" s="61" t="n"/>
      <c r="D63" s="60" t="n"/>
      <c r="E63" s="60" t="n"/>
      <c r="F63" s="62" t="n"/>
      <c r="G63" s="62" t="n"/>
      <c r="H63" s="60" t="n"/>
      <c r="I63" s="60" t="n"/>
      <c r="J63" s="61" t="n"/>
      <c r="K63" s="61" t="n"/>
      <c r="L63" s="61" t="n"/>
      <c r="M63" s="60" t="n"/>
      <c r="N63" s="60" t="n"/>
      <c r="O63" s="60" t="n"/>
      <c r="P63" s="61" t="n"/>
      <c r="Q63" s="60" t="n"/>
      <c r="R63" s="60" t="n"/>
      <c r="S63" s="60" t="n"/>
      <c r="T63" s="61" t="n"/>
      <c r="U63" s="61" t="n"/>
      <c r="V63" s="60" t="n"/>
      <c r="W63" s="60" t="n"/>
      <c r="X63" s="60" t="n"/>
      <c r="Y63" s="60" t="n"/>
      <c r="Z63" s="61" t="n"/>
      <c r="AA63" s="60" t="n"/>
      <c r="AB63" s="60" t="n"/>
      <c r="AC63" s="60" t="n"/>
      <c r="AD63" s="60" t="n"/>
      <c r="AE63" s="63">
        <f>IF($G63="","",TODAY()-$G63)</f>
        <v/>
      </c>
      <c r="AF63" s="63">
        <f>IF($A63="","",IF($M63&gt;0,"Yes","No"))</f>
        <v/>
      </c>
      <c r="AG63" s="63">
        <f>IF($A63="","",IF(AND($E63="Yes",OR($AA63="No",$AA63="NOT FOUND")),"YES",""))</f>
        <v/>
      </c>
      <c r="AH63" s="66">
        <f>IF($A63="","",TRIM(IF(AND($Y63=0,$I63&lt;&gt;"Yes"),"T0-NoPhishResistant ","")&amp;IF($H63="No","NoMFA ","")&amp;IF(AND($Y63=0,$M63&gt;0),"T0-Standing ","")&amp;IF(AND($Y63=0,$S63="Group only"),"T0-ViaGroupOnly ","")&amp;IF($R63="Yes","BroadAzureScope ","")&amp;IF(AND($E63="Yes",$G63=""),"NeverSignedIn ","")))</f>
        <v/>
      </c>
      <c r="AI63" s="60" t="n"/>
      <c r="AJ63" s="61" t="n"/>
      <c r="AK63" s="60" t="n"/>
      <c r="AL63" s="62" t="n"/>
      <c r="AM63" s="62" t="n"/>
      <c r="AN63" s="62" t="n"/>
      <c r="AO63" s="60" t="n"/>
      <c r="AP63" s="61" t="n"/>
      <c r="AQ63" s="63">
        <f>IF($A63="","",IF(AM63="","Not Enrolled",IF(TODAY()&gt;AM63,"Review Overdue",IF(AM63-TODAY()&lt;=30,"Review Due Soon","Active"))))</f>
        <v/>
      </c>
      <c r="AR63" s="63">
        <f>IF($A63="","",IF(AN63="","NOT REVIEWED",IF(TODAY()-AN63&gt;90,"OVERDUE",IF(TODAY()-AN63&gt;76,"Due Soon","Current"))))</f>
        <v/>
      </c>
    </row>
    <row r="64" ht="15" customHeight="1" s="39">
      <c r="A64" s="61" t="n"/>
      <c r="B64" s="60" t="n"/>
      <c r="C64" s="61" t="n"/>
      <c r="D64" s="60" t="n"/>
      <c r="E64" s="60" t="n"/>
      <c r="F64" s="62" t="n"/>
      <c r="G64" s="62" t="n"/>
      <c r="H64" s="60" t="n"/>
      <c r="I64" s="60" t="n"/>
      <c r="J64" s="61" t="n"/>
      <c r="K64" s="61" t="n"/>
      <c r="L64" s="61" t="n"/>
      <c r="M64" s="60" t="n"/>
      <c r="N64" s="60" t="n"/>
      <c r="O64" s="60" t="n"/>
      <c r="P64" s="61" t="n"/>
      <c r="Q64" s="60" t="n"/>
      <c r="R64" s="60" t="n"/>
      <c r="S64" s="60" t="n"/>
      <c r="T64" s="61" t="n"/>
      <c r="U64" s="61" t="n"/>
      <c r="V64" s="60" t="n"/>
      <c r="W64" s="60" t="n"/>
      <c r="X64" s="60" t="n"/>
      <c r="Y64" s="60" t="n"/>
      <c r="Z64" s="61" t="n"/>
      <c r="AA64" s="60" t="n"/>
      <c r="AB64" s="60" t="n"/>
      <c r="AC64" s="60" t="n"/>
      <c r="AD64" s="60" t="n"/>
      <c r="AE64" s="63">
        <f>IF($G64="","",TODAY()-$G64)</f>
        <v/>
      </c>
      <c r="AF64" s="63">
        <f>IF($A64="","",IF($M64&gt;0,"Yes","No"))</f>
        <v/>
      </c>
      <c r="AG64" s="63">
        <f>IF($A64="","",IF(AND($E64="Yes",OR($AA64="No",$AA64="NOT FOUND")),"YES",""))</f>
        <v/>
      </c>
      <c r="AH64" s="66">
        <f>IF($A64="","",TRIM(IF(AND($Y64=0,$I64&lt;&gt;"Yes"),"T0-NoPhishResistant ","")&amp;IF($H64="No","NoMFA ","")&amp;IF(AND($Y64=0,$M64&gt;0),"T0-Standing ","")&amp;IF(AND($Y64=0,$S64="Group only"),"T0-ViaGroupOnly ","")&amp;IF($R64="Yes","BroadAzureScope ","")&amp;IF(AND($E64="Yes",$G64=""),"NeverSignedIn ","")))</f>
        <v/>
      </c>
      <c r="AI64" s="60" t="n"/>
      <c r="AJ64" s="61" t="n"/>
      <c r="AK64" s="60" t="n"/>
      <c r="AL64" s="62" t="n"/>
      <c r="AM64" s="62" t="n"/>
      <c r="AN64" s="62" t="n"/>
      <c r="AO64" s="60" t="n"/>
      <c r="AP64" s="61" t="n"/>
      <c r="AQ64" s="63">
        <f>IF($A64="","",IF(AM64="","Not Enrolled",IF(TODAY()&gt;AM64,"Review Overdue",IF(AM64-TODAY()&lt;=30,"Review Due Soon","Active"))))</f>
        <v/>
      </c>
      <c r="AR64" s="63">
        <f>IF($A64="","",IF(AN64="","NOT REVIEWED",IF(TODAY()-AN64&gt;90,"OVERDUE",IF(TODAY()-AN64&gt;76,"Due Soon","Current"))))</f>
        <v/>
      </c>
    </row>
    <row r="65" ht="15" customHeight="1" s="39">
      <c r="A65" s="61" t="n"/>
      <c r="B65" s="60" t="n"/>
      <c r="C65" s="61" t="n"/>
      <c r="D65" s="60" t="n"/>
      <c r="E65" s="60" t="n"/>
      <c r="F65" s="62" t="n"/>
      <c r="G65" s="62" t="n"/>
      <c r="H65" s="60" t="n"/>
      <c r="I65" s="60" t="n"/>
      <c r="J65" s="61" t="n"/>
      <c r="K65" s="61" t="n"/>
      <c r="L65" s="61" t="n"/>
      <c r="M65" s="60" t="n"/>
      <c r="N65" s="60" t="n"/>
      <c r="O65" s="60" t="n"/>
      <c r="P65" s="61" t="n"/>
      <c r="Q65" s="60" t="n"/>
      <c r="R65" s="60" t="n"/>
      <c r="S65" s="60" t="n"/>
      <c r="T65" s="61" t="n"/>
      <c r="U65" s="61" t="n"/>
      <c r="V65" s="60" t="n"/>
      <c r="W65" s="60" t="n"/>
      <c r="X65" s="60" t="n"/>
      <c r="Y65" s="60" t="n"/>
      <c r="Z65" s="61" t="n"/>
      <c r="AA65" s="60" t="n"/>
      <c r="AB65" s="60" t="n"/>
      <c r="AC65" s="60" t="n"/>
      <c r="AD65" s="60" t="n"/>
      <c r="AE65" s="63">
        <f>IF($G65="","",TODAY()-$G65)</f>
        <v/>
      </c>
      <c r="AF65" s="63">
        <f>IF($A65="","",IF($M65&gt;0,"Yes","No"))</f>
        <v/>
      </c>
      <c r="AG65" s="63">
        <f>IF($A65="","",IF(AND($E65="Yes",OR($AA65="No",$AA65="NOT FOUND")),"YES",""))</f>
        <v/>
      </c>
      <c r="AH65" s="66">
        <f>IF($A65="","",TRIM(IF(AND($Y65=0,$I65&lt;&gt;"Yes"),"T0-NoPhishResistant ","")&amp;IF($H65="No","NoMFA ","")&amp;IF(AND($Y65=0,$M65&gt;0),"T0-Standing ","")&amp;IF(AND($Y65=0,$S65="Group only"),"T0-ViaGroupOnly ","")&amp;IF($R65="Yes","BroadAzureScope ","")&amp;IF(AND($E65="Yes",$G65=""),"NeverSignedIn ","")))</f>
        <v/>
      </c>
      <c r="AI65" s="60" t="n"/>
      <c r="AJ65" s="61" t="n"/>
      <c r="AK65" s="60" t="n"/>
      <c r="AL65" s="62" t="n"/>
      <c r="AM65" s="62" t="n"/>
      <c r="AN65" s="62" t="n"/>
      <c r="AO65" s="60" t="n"/>
      <c r="AP65" s="61" t="n"/>
      <c r="AQ65" s="63">
        <f>IF($A65="","",IF(AM65="","Not Enrolled",IF(TODAY()&gt;AM65,"Review Overdue",IF(AM65-TODAY()&lt;=30,"Review Due Soon","Active"))))</f>
        <v/>
      </c>
      <c r="AR65" s="63">
        <f>IF($A65="","",IF(AN65="","NOT REVIEWED",IF(TODAY()-AN65&gt;90,"OVERDUE",IF(TODAY()-AN65&gt;76,"Due Soon","Current"))))</f>
        <v/>
      </c>
    </row>
    <row r="66" ht="15" customHeight="1" s="39">
      <c r="A66" s="61" t="n"/>
      <c r="B66" s="60" t="n"/>
      <c r="C66" s="61" t="n"/>
      <c r="D66" s="60" t="n"/>
      <c r="E66" s="60" t="n"/>
      <c r="F66" s="62" t="n"/>
      <c r="G66" s="62" t="n"/>
      <c r="H66" s="60" t="n"/>
      <c r="I66" s="60" t="n"/>
      <c r="J66" s="61" t="n"/>
      <c r="K66" s="61" t="n"/>
      <c r="L66" s="61" t="n"/>
      <c r="M66" s="60" t="n"/>
      <c r="N66" s="60" t="n"/>
      <c r="O66" s="60" t="n"/>
      <c r="P66" s="61" t="n"/>
      <c r="Q66" s="60" t="n"/>
      <c r="R66" s="60" t="n"/>
      <c r="S66" s="60" t="n"/>
      <c r="T66" s="61" t="n"/>
      <c r="U66" s="61" t="n"/>
      <c r="V66" s="60" t="n"/>
      <c r="W66" s="60" t="n"/>
      <c r="X66" s="60" t="n"/>
      <c r="Y66" s="60" t="n"/>
      <c r="Z66" s="61" t="n"/>
      <c r="AA66" s="60" t="n"/>
      <c r="AB66" s="60" t="n"/>
      <c r="AC66" s="60" t="n"/>
      <c r="AD66" s="60" t="n"/>
      <c r="AE66" s="63">
        <f>IF($G66="","",TODAY()-$G66)</f>
        <v/>
      </c>
      <c r="AF66" s="63">
        <f>IF($A66="","",IF($M66&gt;0,"Yes","No"))</f>
        <v/>
      </c>
      <c r="AG66" s="63">
        <f>IF($A66="","",IF(AND($E66="Yes",OR($AA66="No",$AA66="NOT FOUND")),"YES",""))</f>
        <v/>
      </c>
      <c r="AH66" s="66">
        <f>IF($A66="","",TRIM(IF(AND($Y66=0,$I66&lt;&gt;"Yes"),"T0-NoPhishResistant ","")&amp;IF($H66="No","NoMFA ","")&amp;IF(AND($Y66=0,$M66&gt;0),"T0-Standing ","")&amp;IF(AND($Y66=0,$S66="Group only"),"T0-ViaGroupOnly ","")&amp;IF($R66="Yes","BroadAzureScope ","")&amp;IF(AND($E66="Yes",$G66=""),"NeverSignedIn ","")))</f>
        <v/>
      </c>
      <c r="AI66" s="60" t="n"/>
      <c r="AJ66" s="61" t="n"/>
      <c r="AK66" s="60" t="n"/>
      <c r="AL66" s="62" t="n"/>
      <c r="AM66" s="62" t="n"/>
      <c r="AN66" s="62" t="n"/>
      <c r="AO66" s="60" t="n"/>
      <c r="AP66" s="61" t="n"/>
      <c r="AQ66" s="63">
        <f>IF($A66="","",IF(AM66="","Not Enrolled",IF(TODAY()&gt;AM66,"Review Overdue",IF(AM66-TODAY()&lt;=30,"Review Due Soon","Active"))))</f>
        <v/>
      </c>
      <c r="AR66" s="63">
        <f>IF($A66="","",IF(AN66="","NOT REVIEWED",IF(TODAY()-AN66&gt;90,"OVERDUE",IF(TODAY()-AN66&gt;76,"Due Soon","Current"))))</f>
        <v/>
      </c>
    </row>
    <row r="67" ht="15" customHeight="1" s="39">
      <c r="A67" s="61" t="n"/>
      <c r="B67" s="60" t="n"/>
      <c r="C67" s="61" t="n"/>
      <c r="D67" s="60" t="n"/>
      <c r="E67" s="60" t="n"/>
      <c r="F67" s="62" t="n"/>
      <c r="G67" s="62" t="n"/>
      <c r="H67" s="60" t="n"/>
      <c r="I67" s="60" t="n"/>
      <c r="J67" s="61" t="n"/>
      <c r="K67" s="61" t="n"/>
      <c r="L67" s="61" t="n"/>
      <c r="M67" s="60" t="n"/>
      <c r="N67" s="60" t="n"/>
      <c r="O67" s="60" t="n"/>
      <c r="P67" s="61" t="n"/>
      <c r="Q67" s="60" t="n"/>
      <c r="R67" s="60" t="n"/>
      <c r="S67" s="60" t="n"/>
      <c r="T67" s="61" t="n"/>
      <c r="U67" s="61" t="n"/>
      <c r="V67" s="60" t="n"/>
      <c r="W67" s="60" t="n"/>
      <c r="X67" s="60" t="n"/>
      <c r="Y67" s="60" t="n"/>
      <c r="Z67" s="61" t="n"/>
      <c r="AA67" s="60" t="n"/>
      <c r="AB67" s="60" t="n"/>
      <c r="AC67" s="60" t="n"/>
      <c r="AD67" s="60" t="n"/>
      <c r="AE67" s="63">
        <f>IF($G67="","",TODAY()-$G67)</f>
        <v/>
      </c>
      <c r="AF67" s="63">
        <f>IF($A67="","",IF($M67&gt;0,"Yes","No"))</f>
        <v/>
      </c>
      <c r="AG67" s="63">
        <f>IF($A67="","",IF(AND($E67="Yes",OR($AA67="No",$AA67="NOT FOUND")),"YES",""))</f>
        <v/>
      </c>
      <c r="AH67" s="66">
        <f>IF($A67="","",TRIM(IF(AND($Y67=0,$I67&lt;&gt;"Yes"),"T0-NoPhishResistant ","")&amp;IF($H67="No","NoMFA ","")&amp;IF(AND($Y67=0,$M67&gt;0),"T0-Standing ","")&amp;IF(AND($Y67=0,$S67="Group only"),"T0-ViaGroupOnly ","")&amp;IF($R67="Yes","BroadAzureScope ","")&amp;IF(AND($E67="Yes",$G67=""),"NeverSignedIn ","")))</f>
        <v/>
      </c>
      <c r="AI67" s="60" t="n"/>
      <c r="AJ67" s="61" t="n"/>
      <c r="AK67" s="60" t="n"/>
      <c r="AL67" s="62" t="n"/>
      <c r="AM67" s="62" t="n"/>
      <c r="AN67" s="62" t="n"/>
      <c r="AO67" s="60" t="n"/>
      <c r="AP67" s="61" t="n"/>
      <c r="AQ67" s="63">
        <f>IF($A67="","",IF(AM67="","Not Enrolled",IF(TODAY()&gt;AM67,"Review Overdue",IF(AM67-TODAY()&lt;=30,"Review Due Soon","Active"))))</f>
        <v/>
      </c>
      <c r="AR67" s="63">
        <f>IF($A67="","",IF(AN67="","NOT REVIEWED",IF(TODAY()-AN67&gt;90,"OVERDUE",IF(TODAY()-AN67&gt;76,"Due Soon","Current"))))</f>
        <v/>
      </c>
    </row>
    <row r="68" ht="15" customHeight="1" s="39">
      <c r="A68" s="61" t="n"/>
      <c r="B68" s="60" t="n"/>
      <c r="C68" s="61" t="n"/>
      <c r="D68" s="60" t="n"/>
      <c r="E68" s="60" t="n"/>
      <c r="F68" s="62" t="n"/>
      <c r="G68" s="62" t="n"/>
      <c r="H68" s="60" t="n"/>
      <c r="I68" s="60" t="n"/>
      <c r="J68" s="61" t="n"/>
      <c r="K68" s="61" t="n"/>
      <c r="L68" s="61" t="n"/>
      <c r="M68" s="60" t="n"/>
      <c r="N68" s="60" t="n"/>
      <c r="O68" s="60" t="n"/>
      <c r="P68" s="61" t="n"/>
      <c r="Q68" s="60" t="n"/>
      <c r="R68" s="60" t="n"/>
      <c r="S68" s="60" t="n"/>
      <c r="T68" s="61" t="n"/>
      <c r="U68" s="61" t="n"/>
      <c r="V68" s="60" t="n"/>
      <c r="W68" s="60" t="n"/>
      <c r="X68" s="60" t="n"/>
      <c r="Y68" s="60" t="n"/>
      <c r="Z68" s="61" t="n"/>
      <c r="AA68" s="60" t="n"/>
      <c r="AB68" s="60" t="n"/>
      <c r="AC68" s="60" t="n"/>
      <c r="AD68" s="60" t="n"/>
      <c r="AE68" s="63">
        <f>IF($G68="","",TODAY()-$G68)</f>
        <v/>
      </c>
      <c r="AF68" s="63">
        <f>IF($A68="","",IF($M68&gt;0,"Yes","No"))</f>
        <v/>
      </c>
      <c r="AG68" s="63">
        <f>IF($A68="","",IF(AND($E68="Yes",OR($AA68="No",$AA68="NOT FOUND")),"YES",""))</f>
        <v/>
      </c>
      <c r="AH68" s="66">
        <f>IF($A68="","",TRIM(IF(AND($Y68=0,$I68&lt;&gt;"Yes"),"T0-NoPhishResistant ","")&amp;IF($H68="No","NoMFA ","")&amp;IF(AND($Y68=0,$M68&gt;0),"T0-Standing ","")&amp;IF(AND($Y68=0,$S68="Group only"),"T0-ViaGroupOnly ","")&amp;IF($R68="Yes","BroadAzureScope ","")&amp;IF(AND($E68="Yes",$G68=""),"NeverSignedIn ","")))</f>
        <v/>
      </c>
      <c r="AI68" s="60" t="n"/>
      <c r="AJ68" s="61" t="n"/>
      <c r="AK68" s="60" t="n"/>
      <c r="AL68" s="62" t="n"/>
      <c r="AM68" s="62" t="n"/>
      <c r="AN68" s="62" t="n"/>
      <c r="AO68" s="60" t="n"/>
      <c r="AP68" s="61" t="n"/>
      <c r="AQ68" s="63">
        <f>IF($A68="","",IF(AM68="","Not Enrolled",IF(TODAY()&gt;AM68,"Review Overdue",IF(AM68-TODAY()&lt;=30,"Review Due Soon","Active"))))</f>
        <v/>
      </c>
      <c r="AR68" s="63">
        <f>IF($A68="","",IF(AN68="","NOT REVIEWED",IF(TODAY()-AN68&gt;90,"OVERDUE",IF(TODAY()-AN68&gt;76,"Due Soon","Current"))))</f>
        <v/>
      </c>
    </row>
    <row r="69" ht="15" customHeight="1" s="39">
      <c r="A69" s="61" t="n"/>
      <c r="B69" s="60" t="n"/>
      <c r="C69" s="61" t="n"/>
      <c r="D69" s="60" t="n"/>
      <c r="E69" s="60" t="n"/>
      <c r="F69" s="62" t="n"/>
      <c r="G69" s="62" t="n"/>
      <c r="H69" s="60" t="n"/>
      <c r="I69" s="60" t="n"/>
      <c r="J69" s="61" t="n"/>
      <c r="K69" s="61" t="n"/>
      <c r="L69" s="61" t="n"/>
      <c r="M69" s="60" t="n"/>
      <c r="N69" s="60" t="n"/>
      <c r="O69" s="60" t="n"/>
      <c r="P69" s="61" t="n"/>
      <c r="Q69" s="60" t="n"/>
      <c r="R69" s="60" t="n"/>
      <c r="S69" s="60" t="n"/>
      <c r="T69" s="61" t="n"/>
      <c r="U69" s="61" t="n"/>
      <c r="V69" s="60" t="n"/>
      <c r="W69" s="60" t="n"/>
      <c r="X69" s="60" t="n"/>
      <c r="Y69" s="60" t="n"/>
      <c r="Z69" s="61" t="n"/>
      <c r="AA69" s="60" t="n"/>
      <c r="AB69" s="60" t="n"/>
      <c r="AC69" s="60" t="n"/>
      <c r="AD69" s="60" t="n"/>
      <c r="AE69" s="63">
        <f>IF($G69="","",TODAY()-$G69)</f>
        <v/>
      </c>
      <c r="AF69" s="63">
        <f>IF($A69="","",IF($M69&gt;0,"Yes","No"))</f>
        <v/>
      </c>
      <c r="AG69" s="63">
        <f>IF($A69="","",IF(AND($E69="Yes",OR($AA69="No",$AA69="NOT FOUND")),"YES",""))</f>
        <v/>
      </c>
      <c r="AH69" s="66">
        <f>IF($A69="","",TRIM(IF(AND($Y69=0,$I69&lt;&gt;"Yes"),"T0-NoPhishResistant ","")&amp;IF($H69="No","NoMFA ","")&amp;IF(AND($Y69=0,$M69&gt;0),"T0-Standing ","")&amp;IF(AND($Y69=0,$S69="Group only"),"T0-ViaGroupOnly ","")&amp;IF($R69="Yes","BroadAzureScope ","")&amp;IF(AND($E69="Yes",$G69=""),"NeverSignedIn ","")))</f>
        <v/>
      </c>
      <c r="AI69" s="60" t="n"/>
      <c r="AJ69" s="61" t="n"/>
      <c r="AK69" s="60" t="n"/>
      <c r="AL69" s="62" t="n"/>
      <c r="AM69" s="62" t="n"/>
      <c r="AN69" s="62" t="n"/>
      <c r="AO69" s="60" t="n"/>
      <c r="AP69" s="61" t="n"/>
      <c r="AQ69" s="63">
        <f>IF($A69="","",IF(AM69="","Not Enrolled",IF(TODAY()&gt;AM69,"Review Overdue",IF(AM69-TODAY()&lt;=30,"Review Due Soon","Active"))))</f>
        <v/>
      </c>
      <c r="AR69" s="63">
        <f>IF($A69="","",IF(AN69="","NOT REVIEWED",IF(TODAY()-AN69&gt;90,"OVERDUE",IF(TODAY()-AN69&gt;76,"Due Soon","Current"))))</f>
        <v/>
      </c>
    </row>
    <row r="70" ht="15" customHeight="1" s="39">
      <c r="A70" s="61" t="n"/>
      <c r="B70" s="60" t="n"/>
      <c r="C70" s="61" t="n"/>
      <c r="D70" s="60" t="n"/>
      <c r="E70" s="60" t="n"/>
      <c r="F70" s="62" t="n"/>
      <c r="G70" s="62" t="n"/>
      <c r="H70" s="60" t="n"/>
      <c r="I70" s="60" t="n"/>
      <c r="J70" s="61" t="n"/>
      <c r="K70" s="61" t="n"/>
      <c r="L70" s="61" t="n"/>
      <c r="M70" s="60" t="n"/>
      <c r="N70" s="60" t="n"/>
      <c r="O70" s="60" t="n"/>
      <c r="P70" s="61" t="n"/>
      <c r="Q70" s="60" t="n"/>
      <c r="R70" s="60" t="n"/>
      <c r="S70" s="60" t="n"/>
      <c r="T70" s="61" t="n"/>
      <c r="U70" s="61" t="n"/>
      <c r="V70" s="60" t="n"/>
      <c r="W70" s="60" t="n"/>
      <c r="X70" s="60" t="n"/>
      <c r="Y70" s="60" t="n"/>
      <c r="Z70" s="61" t="n"/>
      <c r="AA70" s="60" t="n"/>
      <c r="AB70" s="60" t="n"/>
      <c r="AC70" s="60" t="n"/>
      <c r="AD70" s="60" t="n"/>
      <c r="AE70" s="63">
        <f>IF($G70="","",TODAY()-$G70)</f>
        <v/>
      </c>
      <c r="AF70" s="63">
        <f>IF($A70="","",IF($M70&gt;0,"Yes","No"))</f>
        <v/>
      </c>
      <c r="AG70" s="63">
        <f>IF($A70="","",IF(AND($E70="Yes",OR($AA70="No",$AA70="NOT FOUND")),"YES",""))</f>
        <v/>
      </c>
      <c r="AH70" s="66">
        <f>IF($A70="","",TRIM(IF(AND($Y70=0,$I70&lt;&gt;"Yes"),"T0-NoPhishResistant ","")&amp;IF($H70="No","NoMFA ","")&amp;IF(AND($Y70=0,$M70&gt;0),"T0-Standing ","")&amp;IF(AND($Y70=0,$S70="Group only"),"T0-ViaGroupOnly ","")&amp;IF($R70="Yes","BroadAzureScope ","")&amp;IF(AND($E70="Yes",$G70=""),"NeverSignedIn ","")))</f>
        <v/>
      </c>
      <c r="AI70" s="60" t="n"/>
      <c r="AJ70" s="61" t="n"/>
      <c r="AK70" s="60" t="n"/>
      <c r="AL70" s="62" t="n"/>
      <c r="AM70" s="62" t="n"/>
      <c r="AN70" s="62" t="n"/>
      <c r="AO70" s="60" t="n"/>
      <c r="AP70" s="61" t="n"/>
      <c r="AQ70" s="63">
        <f>IF($A70="","",IF(AM70="","Not Enrolled",IF(TODAY()&gt;AM70,"Review Overdue",IF(AM70-TODAY()&lt;=30,"Review Due Soon","Active"))))</f>
        <v/>
      </c>
      <c r="AR70" s="63">
        <f>IF($A70="","",IF(AN70="","NOT REVIEWED",IF(TODAY()-AN70&gt;90,"OVERDUE",IF(TODAY()-AN70&gt;76,"Due Soon","Current"))))</f>
        <v/>
      </c>
    </row>
    <row r="71" ht="15" customHeight="1" s="39">
      <c r="A71" s="61" t="n"/>
      <c r="B71" s="60" t="n"/>
      <c r="C71" s="61" t="n"/>
      <c r="D71" s="60" t="n"/>
      <c r="E71" s="60" t="n"/>
      <c r="F71" s="62" t="n"/>
      <c r="G71" s="62" t="n"/>
      <c r="H71" s="60" t="n"/>
      <c r="I71" s="60" t="n"/>
      <c r="J71" s="61" t="n"/>
      <c r="K71" s="61" t="n"/>
      <c r="L71" s="61" t="n"/>
      <c r="M71" s="60" t="n"/>
      <c r="N71" s="60" t="n"/>
      <c r="O71" s="60" t="n"/>
      <c r="P71" s="61" t="n"/>
      <c r="Q71" s="60" t="n"/>
      <c r="R71" s="60" t="n"/>
      <c r="S71" s="60" t="n"/>
      <c r="T71" s="61" t="n"/>
      <c r="U71" s="61" t="n"/>
      <c r="V71" s="60" t="n"/>
      <c r="W71" s="60" t="n"/>
      <c r="X71" s="60" t="n"/>
      <c r="Y71" s="60" t="n"/>
      <c r="Z71" s="61" t="n"/>
      <c r="AA71" s="60" t="n"/>
      <c r="AB71" s="60" t="n"/>
      <c r="AC71" s="60" t="n"/>
      <c r="AD71" s="60" t="n"/>
      <c r="AE71" s="63">
        <f>IF($G71="","",TODAY()-$G71)</f>
        <v/>
      </c>
      <c r="AF71" s="63">
        <f>IF($A71="","",IF($M71&gt;0,"Yes","No"))</f>
        <v/>
      </c>
      <c r="AG71" s="63">
        <f>IF($A71="","",IF(AND($E71="Yes",OR($AA71="No",$AA71="NOT FOUND")),"YES",""))</f>
        <v/>
      </c>
      <c r="AH71" s="66">
        <f>IF($A71="","",TRIM(IF(AND($Y71=0,$I71&lt;&gt;"Yes"),"T0-NoPhishResistant ","")&amp;IF($H71="No","NoMFA ","")&amp;IF(AND($Y71=0,$M71&gt;0),"T0-Standing ","")&amp;IF(AND($Y71=0,$S71="Group only"),"T0-ViaGroupOnly ","")&amp;IF($R71="Yes","BroadAzureScope ","")&amp;IF(AND($E71="Yes",$G71=""),"NeverSignedIn ","")))</f>
        <v/>
      </c>
      <c r="AI71" s="60" t="n"/>
      <c r="AJ71" s="61" t="n"/>
      <c r="AK71" s="60" t="n"/>
      <c r="AL71" s="62" t="n"/>
      <c r="AM71" s="62" t="n"/>
      <c r="AN71" s="62" t="n"/>
      <c r="AO71" s="60" t="n"/>
      <c r="AP71" s="61" t="n"/>
      <c r="AQ71" s="63">
        <f>IF($A71="","",IF(AM71="","Not Enrolled",IF(TODAY()&gt;AM71,"Review Overdue",IF(AM71-TODAY()&lt;=30,"Review Due Soon","Active"))))</f>
        <v/>
      </c>
      <c r="AR71" s="63">
        <f>IF($A71="","",IF(AN71="","NOT REVIEWED",IF(TODAY()-AN71&gt;90,"OVERDUE",IF(TODAY()-AN71&gt;76,"Due Soon","Current"))))</f>
        <v/>
      </c>
    </row>
    <row r="72" ht="15" customHeight="1" s="39">
      <c r="A72" s="61" t="n"/>
      <c r="B72" s="60" t="n"/>
      <c r="C72" s="61" t="n"/>
      <c r="D72" s="60" t="n"/>
      <c r="E72" s="60" t="n"/>
      <c r="F72" s="62" t="n"/>
      <c r="G72" s="62" t="n"/>
      <c r="H72" s="60" t="n"/>
      <c r="I72" s="60" t="n"/>
      <c r="J72" s="61" t="n"/>
      <c r="K72" s="61" t="n"/>
      <c r="L72" s="61" t="n"/>
      <c r="M72" s="60" t="n"/>
      <c r="N72" s="60" t="n"/>
      <c r="O72" s="60" t="n"/>
      <c r="P72" s="61" t="n"/>
      <c r="Q72" s="60" t="n"/>
      <c r="R72" s="60" t="n"/>
      <c r="S72" s="60" t="n"/>
      <c r="T72" s="61" t="n"/>
      <c r="U72" s="61" t="n"/>
      <c r="V72" s="60" t="n"/>
      <c r="W72" s="60" t="n"/>
      <c r="X72" s="60" t="n"/>
      <c r="Y72" s="60" t="n"/>
      <c r="Z72" s="61" t="n"/>
      <c r="AA72" s="60" t="n"/>
      <c r="AB72" s="60" t="n"/>
      <c r="AC72" s="60" t="n"/>
      <c r="AD72" s="60" t="n"/>
      <c r="AE72" s="63">
        <f>IF($G72="","",TODAY()-$G72)</f>
        <v/>
      </c>
      <c r="AF72" s="63">
        <f>IF($A72="","",IF($M72&gt;0,"Yes","No"))</f>
        <v/>
      </c>
      <c r="AG72" s="63">
        <f>IF($A72="","",IF(AND($E72="Yes",OR($AA72="No",$AA72="NOT FOUND")),"YES",""))</f>
        <v/>
      </c>
      <c r="AH72" s="66">
        <f>IF($A72="","",TRIM(IF(AND($Y72=0,$I72&lt;&gt;"Yes"),"T0-NoPhishResistant ","")&amp;IF($H72="No","NoMFA ","")&amp;IF(AND($Y72=0,$M72&gt;0),"T0-Standing ","")&amp;IF(AND($Y72=0,$S72="Group only"),"T0-ViaGroupOnly ","")&amp;IF($R72="Yes","BroadAzureScope ","")&amp;IF(AND($E72="Yes",$G72=""),"NeverSignedIn ","")))</f>
        <v/>
      </c>
      <c r="AI72" s="60" t="n"/>
      <c r="AJ72" s="61" t="n"/>
      <c r="AK72" s="60" t="n"/>
      <c r="AL72" s="62" t="n"/>
      <c r="AM72" s="62" t="n"/>
      <c r="AN72" s="62" t="n"/>
      <c r="AO72" s="60" t="n"/>
      <c r="AP72" s="61" t="n"/>
      <c r="AQ72" s="63">
        <f>IF($A72="","",IF(AM72="","Not Enrolled",IF(TODAY()&gt;AM72,"Review Overdue",IF(AM72-TODAY()&lt;=30,"Review Due Soon","Active"))))</f>
        <v/>
      </c>
      <c r="AR72" s="63">
        <f>IF($A72="","",IF(AN72="","NOT REVIEWED",IF(TODAY()-AN72&gt;90,"OVERDUE",IF(TODAY()-AN72&gt;76,"Due Soon","Current"))))</f>
        <v/>
      </c>
    </row>
    <row r="73" ht="15" customHeight="1" s="39">
      <c r="A73" s="61" t="n"/>
      <c r="B73" s="60" t="n"/>
      <c r="C73" s="61" t="n"/>
      <c r="D73" s="60" t="n"/>
      <c r="E73" s="60" t="n"/>
      <c r="F73" s="62" t="n"/>
      <c r="G73" s="62" t="n"/>
      <c r="H73" s="60" t="n"/>
      <c r="I73" s="60" t="n"/>
      <c r="J73" s="61" t="n"/>
      <c r="K73" s="61" t="n"/>
      <c r="L73" s="61" t="n"/>
      <c r="M73" s="60" t="n"/>
      <c r="N73" s="60" t="n"/>
      <c r="O73" s="60" t="n"/>
      <c r="P73" s="61" t="n"/>
      <c r="Q73" s="60" t="n"/>
      <c r="R73" s="60" t="n"/>
      <c r="S73" s="60" t="n"/>
      <c r="T73" s="61" t="n"/>
      <c r="U73" s="61" t="n"/>
      <c r="V73" s="60" t="n"/>
      <c r="W73" s="60" t="n"/>
      <c r="X73" s="60" t="n"/>
      <c r="Y73" s="60" t="n"/>
      <c r="Z73" s="61" t="n"/>
      <c r="AA73" s="60" t="n"/>
      <c r="AB73" s="60" t="n"/>
      <c r="AC73" s="60" t="n"/>
      <c r="AD73" s="60" t="n"/>
      <c r="AE73" s="63">
        <f>IF($G73="","",TODAY()-$G73)</f>
        <v/>
      </c>
      <c r="AF73" s="63">
        <f>IF($A73="","",IF($M73&gt;0,"Yes","No"))</f>
        <v/>
      </c>
      <c r="AG73" s="63">
        <f>IF($A73="","",IF(AND($E73="Yes",OR($AA73="No",$AA73="NOT FOUND")),"YES",""))</f>
        <v/>
      </c>
      <c r="AH73" s="66">
        <f>IF($A73="","",TRIM(IF(AND($Y73=0,$I73&lt;&gt;"Yes"),"T0-NoPhishResistant ","")&amp;IF($H73="No","NoMFA ","")&amp;IF(AND($Y73=0,$M73&gt;0),"T0-Standing ","")&amp;IF(AND($Y73=0,$S73="Group only"),"T0-ViaGroupOnly ","")&amp;IF($R73="Yes","BroadAzureScope ","")&amp;IF(AND($E73="Yes",$G73=""),"NeverSignedIn ","")))</f>
        <v/>
      </c>
      <c r="AI73" s="60" t="n"/>
      <c r="AJ73" s="61" t="n"/>
      <c r="AK73" s="60" t="n"/>
      <c r="AL73" s="62" t="n"/>
      <c r="AM73" s="62" t="n"/>
      <c r="AN73" s="62" t="n"/>
      <c r="AO73" s="60" t="n"/>
      <c r="AP73" s="61" t="n"/>
      <c r="AQ73" s="63">
        <f>IF($A73="","",IF(AM73="","Not Enrolled",IF(TODAY()&gt;AM73,"Review Overdue",IF(AM73-TODAY()&lt;=30,"Review Due Soon","Active"))))</f>
        <v/>
      </c>
      <c r="AR73" s="63">
        <f>IF($A73="","",IF(AN73="","NOT REVIEWED",IF(TODAY()-AN73&gt;90,"OVERDUE",IF(TODAY()-AN73&gt;76,"Due Soon","Current"))))</f>
        <v/>
      </c>
    </row>
    <row r="74" ht="15" customHeight="1" s="39">
      <c r="A74" s="61" t="n"/>
      <c r="B74" s="60" t="n"/>
      <c r="C74" s="61" t="n"/>
      <c r="D74" s="60" t="n"/>
      <c r="E74" s="60" t="n"/>
      <c r="F74" s="62" t="n"/>
      <c r="G74" s="62" t="n"/>
      <c r="H74" s="60" t="n"/>
      <c r="I74" s="60" t="n"/>
      <c r="J74" s="61" t="n"/>
      <c r="K74" s="61" t="n"/>
      <c r="L74" s="61" t="n"/>
      <c r="M74" s="60" t="n"/>
      <c r="N74" s="60" t="n"/>
      <c r="O74" s="60" t="n"/>
      <c r="P74" s="61" t="n"/>
      <c r="Q74" s="60" t="n"/>
      <c r="R74" s="60" t="n"/>
      <c r="S74" s="60" t="n"/>
      <c r="T74" s="61" t="n"/>
      <c r="U74" s="61" t="n"/>
      <c r="V74" s="60" t="n"/>
      <c r="W74" s="60" t="n"/>
      <c r="X74" s="60" t="n"/>
      <c r="Y74" s="60" t="n"/>
      <c r="Z74" s="61" t="n"/>
      <c r="AA74" s="60" t="n"/>
      <c r="AB74" s="60" t="n"/>
      <c r="AC74" s="60" t="n"/>
      <c r="AD74" s="60" t="n"/>
      <c r="AE74" s="63">
        <f>IF($G74="","",TODAY()-$G74)</f>
        <v/>
      </c>
      <c r="AF74" s="63">
        <f>IF($A74="","",IF($M74&gt;0,"Yes","No"))</f>
        <v/>
      </c>
      <c r="AG74" s="63">
        <f>IF($A74="","",IF(AND($E74="Yes",OR($AA74="No",$AA74="NOT FOUND")),"YES",""))</f>
        <v/>
      </c>
      <c r="AH74" s="66">
        <f>IF($A74="","",TRIM(IF(AND($Y74=0,$I74&lt;&gt;"Yes"),"T0-NoPhishResistant ","")&amp;IF($H74="No","NoMFA ","")&amp;IF(AND($Y74=0,$M74&gt;0),"T0-Standing ","")&amp;IF(AND($Y74=0,$S74="Group only"),"T0-ViaGroupOnly ","")&amp;IF($R74="Yes","BroadAzureScope ","")&amp;IF(AND($E74="Yes",$G74=""),"NeverSignedIn ","")))</f>
        <v/>
      </c>
      <c r="AI74" s="60" t="n"/>
      <c r="AJ74" s="61" t="n"/>
      <c r="AK74" s="60" t="n"/>
      <c r="AL74" s="62" t="n"/>
      <c r="AM74" s="62" t="n"/>
      <c r="AN74" s="62" t="n"/>
      <c r="AO74" s="60" t="n"/>
      <c r="AP74" s="61" t="n"/>
      <c r="AQ74" s="63">
        <f>IF($A74="","",IF(AM74="","Not Enrolled",IF(TODAY()&gt;AM74,"Review Overdue",IF(AM74-TODAY()&lt;=30,"Review Due Soon","Active"))))</f>
        <v/>
      </c>
      <c r="AR74" s="63">
        <f>IF($A74="","",IF(AN74="","NOT REVIEWED",IF(TODAY()-AN74&gt;90,"OVERDUE",IF(TODAY()-AN74&gt;76,"Due Soon","Current"))))</f>
        <v/>
      </c>
    </row>
    <row r="75" ht="15" customHeight="1" s="39">
      <c r="A75" s="61" t="n"/>
      <c r="B75" s="60" t="n"/>
      <c r="C75" s="61" t="n"/>
      <c r="D75" s="60" t="n"/>
      <c r="E75" s="60" t="n"/>
      <c r="F75" s="62" t="n"/>
      <c r="G75" s="62" t="n"/>
      <c r="H75" s="60" t="n"/>
      <c r="I75" s="60" t="n"/>
      <c r="J75" s="61" t="n"/>
      <c r="K75" s="61" t="n"/>
      <c r="L75" s="61" t="n"/>
      <c r="M75" s="60" t="n"/>
      <c r="N75" s="60" t="n"/>
      <c r="O75" s="60" t="n"/>
      <c r="P75" s="61" t="n"/>
      <c r="Q75" s="60" t="n"/>
      <c r="R75" s="60" t="n"/>
      <c r="S75" s="60" t="n"/>
      <c r="T75" s="61" t="n"/>
      <c r="U75" s="61" t="n"/>
      <c r="V75" s="60" t="n"/>
      <c r="W75" s="60" t="n"/>
      <c r="X75" s="60" t="n"/>
      <c r="Y75" s="60" t="n"/>
      <c r="Z75" s="61" t="n"/>
      <c r="AA75" s="60" t="n"/>
      <c r="AB75" s="60" t="n"/>
      <c r="AC75" s="60" t="n"/>
      <c r="AD75" s="60" t="n"/>
      <c r="AE75" s="63">
        <f>IF($G75="","",TODAY()-$G75)</f>
        <v/>
      </c>
      <c r="AF75" s="63">
        <f>IF($A75="","",IF($M75&gt;0,"Yes","No"))</f>
        <v/>
      </c>
      <c r="AG75" s="63">
        <f>IF($A75="","",IF(AND($E75="Yes",OR($AA75="No",$AA75="NOT FOUND")),"YES",""))</f>
        <v/>
      </c>
      <c r="AH75" s="66">
        <f>IF($A75="","",TRIM(IF(AND($Y75=0,$I75&lt;&gt;"Yes"),"T0-NoPhishResistant ","")&amp;IF($H75="No","NoMFA ","")&amp;IF(AND($Y75=0,$M75&gt;0),"T0-Standing ","")&amp;IF(AND($Y75=0,$S75="Group only"),"T0-ViaGroupOnly ","")&amp;IF($R75="Yes","BroadAzureScope ","")&amp;IF(AND($E75="Yes",$G75=""),"NeverSignedIn ","")))</f>
        <v/>
      </c>
      <c r="AI75" s="60" t="n"/>
      <c r="AJ75" s="61" t="n"/>
      <c r="AK75" s="60" t="n"/>
      <c r="AL75" s="62" t="n"/>
      <c r="AM75" s="62" t="n"/>
      <c r="AN75" s="62" t="n"/>
      <c r="AO75" s="60" t="n"/>
      <c r="AP75" s="61" t="n"/>
      <c r="AQ75" s="63">
        <f>IF($A75="","",IF(AM75="","Not Enrolled",IF(TODAY()&gt;AM75,"Review Overdue",IF(AM75-TODAY()&lt;=30,"Review Due Soon","Active"))))</f>
        <v/>
      </c>
      <c r="AR75" s="63">
        <f>IF($A75="","",IF(AN75="","NOT REVIEWED",IF(TODAY()-AN75&gt;90,"OVERDUE",IF(TODAY()-AN75&gt;76,"Due Soon","Current"))))</f>
        <v/>
      </c>
    </row>
    <row r="76" ht="15" customHeight="1" s="39">
      <c r="A76" s="61" t="n"/>
      <c r="B76" s="60" t="n"/>
      <c r="C76" s="61" t="n"/>
      <c r="D76" s="60" t="n"/>
      <c r="E76" s="60" t="n"/>
      <c r="F76" s="62" t="n"/>
      <c r="G76" s="62" t="n"/>
      <c r="H76" s="60" t="n"/>
      <c r="I76" s="60" t="n"/>
      <c r="J76" s="61" t="n"/>
      <c r="K76" s="61" t="n"/>
      <c r="L76" s="61" t="n"/>
      <c r="M76" s="60" t="n"/>
      <c r="N76" s="60" t="n"/>
      <c r="O76" s="60" t="n"/>
      <c r="P76" s="61" t="n"/>
      <c r="Q76" s="60" t="n"/>
      <c r="R76" s="60" t="n"/>
      <c r="S76" s="60" t="n"/>
      <c r="T76" s="61" t="n"/>
      <c r="U76" s="61" t="n"/>
      <c r="V76" s="60" t="n"/>
      <c r="W76" s="60" t="n"/>
      <c r="X76" s="60" t="n"/>
      <c r="Y76" s="60" t="n"/>
      <c r="Z76" s="61" t="n"/>
      <c r="AA76" s="60" t="n"/>
      <c r="AB76" s="60" t="n"/>
      <c r="AC76" s="60" t="n"/>
      <c r="AD76" s="60" t="n"/>
      <c r="AE76" s="63">
        <f>IF($G76="","",TODAY()-$G76)</f>
        <v/>
      </c>
      <c r="AF76" s="63">
        <f>IF($A76="","",IF($M76&gt;0,"Yes","No"))</f>
        <v/>
      </c>
      <c r="AG76" s="63">
        <f>IF($A76="","",IF(AND($E76="Yes",OR($AA76="No",$AA76="NOT FOUND")),"YES",""))</f>
        <v/>
      </c>
      <c r="AH76" s="66">
        <f>IF($A76="","",TRIM(IF(AND($Y76=0,$I76&lt;&gt;"Yes"),"T0-NoPhishResistant ","")&amp;IF($H76="No","NoMFA ","")&amp;IF(AND($Y76=0,$M76&gt;0),"T0-Standing ","")&amp;IF(AND($Y76=0,$S76="Group only"),"T0-ViaGroupOnly ","")&amp;IF($R76="Yes","BroadAzureScope ","")&amp;IF(AND($E76="Yes",$G76=""),"NeverSignedIn ","")))</f>
        <v/>
      </c>
      <c r="AI76" s="60" t="n"/>
      <c r="AJ76" s="61" t="n"/>
      <c r="AK76" s="60" t="n"/>
      <c r="AL76" s="62" t="n"/>
      <c r="AM76" s="62" t="n"/>
      <c r="AN76" s="62" t="n"/>
      <c r="AO76" s="60" t="n"/>
      <c r="AP76" s="61" t="n"/>
      <c r="AQ76" s="63">
        <f>IF($A76="","",IF(AM76="","Not Enrolled",IF(TODAY()&gt;AM76,"Review Overdue",IF(AM76-TODAY()&lt;=30,"Review Due Soon","Active"))))</f>
        <v/>
      </c>
      <c r="AR76" s="63">
        <f>IF($A76="","",IF(AN76="","NOT REVIEWED",IF(TODAY()-AN76&gt;90,"OVERDUE",IF(TODAY()-AN76&gt;76,"Due Soon","Current"))))</f>
        <v/>
      </c>
    </row>
    <row r="77" ht="15" customHeight="1" s="39">
      <c r="A77" s="61" t="n"/>
      <c r="B77" s="60" t="n"/>
      <c r="C77" s="61" t="n"/>
      <c r="D77" s="60" t="n"/>
      <c r="E77" s="60" t="n"/>
      <c r="F77" s="62" t="n"/>
      <c r="G77" s="62" t="n"/>
      <c r="H77" s="60" t="n"/>
      <c r="I77" s="60" t="n"/>
      <c r="J77" s="61" t="n"/>
      <c r="K77" s="61" t="n"/>
      <c r="L77" s="61" t="n"/>
      <c r="M77" s="60" t="n"/>
      <c r="N77" s="60" t="n"/>
      <c r="O77" s="60" t="n"/>
      <c r="P77" s="61" t="n"/>
      <c r="Q77" s="60" t="n"/>
      <c r="R77" s="60" t="n"/>
      <c r="S77" s="60" t="n"/>
      <c r="T77" s="61" t="n"/>
      <c r="U77" s="61" t="n"/>
      <c r="V77" s="60" t="n"/>
      <c r="W77" s="60" t="n"/>
      <c r="X77" s="60" t="n"/>
      <c r="Y77" s="60" t="n"/>
      <c r="Z77" s="61" t="n"/>
      <c r="AA77" s="60" t="n"/>
      <c r="AB77" s="60" t="n"/>
      <c r="AC77" s="60" t="n"/>
      <c r="AD77" s="60" t="n"/>
      <c r="AE77" s="63">
        <f>IF($G77="","",TODAY()-$G77)</f>
        <v/>
      </c>
      <c r="AF77" s="63">
        <f>IF($A77="","",IF($M77&gt;0,"Yes","No"))</f>
        <v/>
      </c>
      <c r="AG77" s="63">
        <f>IF($A77="","",IF(AND($E77="Yes",OR($AA77="No",$AA77="NOT FOUND")),"YES",""))</f>
        <v/>
      </c>
      <c r="AH77" s="66">
        <f>IF($A77="","",TRIM(IF(AND($Y77=0,$I77&lt;&gt;"Yes"),"T0-NoPhishResistant ","")&amp;IF($H77="No","NoMFA ","")&amp;IF(AND($Y77=0,$M77&gt;0),"T0-Standing ","")&amp;IF(AND($Y77=0,$S77="Group only"),"T0-ViaGroupOnly ","")&amp;IF($R77="Yes","BroadAzureScope ","")&amp;IF(AND($E77="Yes",$G77=""),"NeverSignedIn ","")))</f>
        <v/>
      </c>
      <c r="AI77" s="60" t="n"/>
      <c r="AJ77" s="61" t="n"/>
      <c r="AK77" s="60" t="n"/>
      <c r="AL77" s="62" t="n"/>
      <c r="AM77" s="62" t="n"/>
      <c r="AN77" s="62" t="n"/>
      <c r="AO77" s="60" t="n"/>
      <c r="AP77" s="61" t="n"/>
      <c r="AQ77" s="63">
        <f>IF($A77="","",IF(AM77="","Not Enrolled",IF(TODAY()&gt;AM77,"Review Overdue",IF(AM77-TODAY()&lt;=30,"Review Due Soon","Active"))))</f>
        <v/>
      </c>
      <c r="AR77" s="63">
        <f>IF($A77="","",IF(AN77="","NOT REVIEWED",IF(TODAY()-AN77&gt;90,"OVERDUE",IF(TODAY()-AN77&gt;76,"Due Soon","Current"))))</f>
        <v/>
      </c>
    </row>
    <row r="78" ht="15" customHeight="1" s="39">
      <c r="A78" s="61" t="n"/>
      <c r="B78" s="60" t="n"/>
      <c r="C78" s="61" t="n"/>
      <c r="D78" s="60" t="n"/>
      <c r="E78" s="60" t="n"/>
      <c r="F78" s="62" t="n"/>
      <c r="G78" s="62" t="n"/>
      <c r="H78" s="60" t="n"/>
      <c r="I78" s="60" t="n"/>
      <c r="J78" s="61" t="n"/>
      <c r="K78" s="61" t="n"/>
      <c r="L78" s="61" t="n"/>
      <c r="M78" s="60" t="n"/>
      <c r="N78" s="60" t="n"/>
      <c r="O78" s="60" t="n"/>
      <c r="P78" s="61" t="n"/>
      <c r="Q78" s="60" t="n"/>
      <c r="R78" s="60" t="n"/>
      <c r="S78" s="60" t="n"/>
      <c r="T78" s="61" t="n"/>
      <c r="U78" s="61" t="n"/>
      <c r="V78" s="60" t="n"/>
      <c r="W78" s="60" t="n"/>
      <c r="X78" s="60" t="n"/>
      <c r="Y78" s="60" t="n"/>
      <c r="Z78" s="61" t="n"/>
      <c r="AA78" s="60" t="n"/>
      <c r="AB78" s="60" t="n"/>
      <c r="AC78" s="60" t="n"/>
      <c r="AD78" s="60" t="n"/>
      <c r="AE78" s="63">
        <f>IF($G78="","",TODAY()-$G78)</f>
        <v/>
      </c>
      <c r="AF78" s="63">
        <f>IF($A78="","",IF($M78&gt;0,"Yes","No"))</f>
        <v/>
      </c>
      <c r="AG78" s="63">
        <f>IF($A78="","",IF(AND($E78="Yes",OR($AA78="No",$AA78="NOT FOUND")),"YES",""))</f>
        <v/>
      </c>
      <c r="AH78" s="66">
        <f>IF($A78="","",TRIM(IF(AND($Y78=0,$I78&lt;&gt;"Yes"),"T0-NoPhishResistant ","")&amp;IF($H78="No","NoMFA ","")&amp;IF(AND($Y78=0,$M78&gt;0),"T0-Standing ","")&amp;IF(AND($Y78=0,$S78="Group only"),"T0-ViaGroupOnly ","")&amp;IF($R78="Yes","BroadAzureScope ","")&amp;IF(AND($E78="Yes",$G78=""),"NeverSignedIn ","")))</f>
        <v/>
      </c>
      <c r="AI78" s="60" t="n"/>
      <c r="AJ78" s="61" t="n"/>
      <c r="AK78" s="60" t="n"/>
      <c r="AL78" s="62" t="n"/>
      <c r="AM78" s="62" t="n"/>
      <c r="AN78" s="62" t="n"/>
      <c r="AO78" s="60" t="n"/>
      <c r="AP78" s="61" t="n"/>
      <c r="AQ78" s="63">
        <f>IF($A78="","",IF(AM78="","Not Enrolled",IF(TODAY()&gt;AM78,"Review Overdue",IF(AM78-TODAY()&lt;=30,"Review Due Soon","Active"))))</f>
        <v/>
      </c>
      <c r="AR78" s="63">
        <f>IF($A78="","",IF(AN78="","NOT REVIEWED",IF(TODAY()-AN78&gt;90,"OVERDUE",IF(TODAY()-AN78&gt;76,"Due Soon","Current"))))</f>
        <v/>
      </c>
    </row>
    <row r="79" ht="15" customHeight="1" s="39">
      <c r="A79" s="61" t="n"/>
      <c r="B79" s="60" t="n"/>
      <c r="C79" s="61" t="n"/>
      <c r="D79" s="60" t="n"/>
      <c r="E79" s="60" t="n"/>
      <c r="F79" s="62" t="n"/>
      <c r="G79" s="62" t="n"/>
      <c r="H79" s="60" t="n"/>
      <c r="I79" s="60" t="n"/>
      <c r="J79" s="61" t="n"/>
      <c r="K79" s="61" t="n"/>
      <c r="L79" s="61" t="n"/>
      <c r="M79" s="60" t="n"/>
      <c r="N79" s="60" t="n"/>
      <c r="O79" s="60" t="n"/>
      <c r="P79" s="61" t="n"/>
      <c r="Q79" s="60" t="n"/>
      <c r="R79" s="60" t="n"/>
      <c r="S79" s="60" t="n"/>
      <c r="T79" s="61" t="n"/>
      <c r="U79" s="61" t="n"/>
      <c r="V79" s="60" t="n"/>
      <c r="W79" s="60" t="n"/>
      <c r="X79" s="60" t="n"/>
      <c r="Y79" s="60" t="n"/>
      <c r="Z79" s="61" t="n"/>
      <c r="AA79" s="60" t="n"/>
      <c r="AB79" s="60" t="n"/>
      <c r="AC79" s="60" t="n"/>
      <c r="AD79" s="60" t="n"/>
      <c r="AE79" s="63">
        <f>IF($G79="","",TODAY()-$G79)</f>
        <v/>
      </c>
      <c r="AF79" s="63">
        <f>IF($A79="","",IF($M79&gt;0,"Yes","No"))</f>
        <v/>
      </c>
      <c r="AG79" s="63">
        <f>IF($A79="","",IF(AND($E79="Yes",OR($AA79="No",$AA79="NOT FOUND")),"YES",""))</f>
        <v/>
      </c>
      <c r="AH79" s="66">
        <f>IF($A79="","",TRIM(IF(AND($Y79=0,$I79&lt;&gt;"Yes"),"T0-NoPhishResistant ","")&amp;IF($H79="No","NoMFA ","")&amp;IF(AND($Y79=0,$M79&gt;0),"T0-Standing ","")&amp;IF(AND($Y79=0,$S79="Group only"),"T0-ViaGroupOnly ","")&amp;IF($R79="Yes","BroadAzureScope ","")&amp;IF(AND($E79="Yes",$G79=""),"NeverSignedIn ","")))</f>
        <v/>
      </c>
      <c r="AI79" s="60" t="n"/>
      <c r="AJ79" s="61" t="n"/>
      <c r="AK79" s="60" t="n"/>
      <c r="AL79" s="62" t="n"/>
      <c r="AM79" s="62" t="n"/>
      <c r="AN79" s="62" t="n"/>
      <c r="AO79" s="60" t="n"/>
      <c r="AP79" s="61" t="n"/>
      <c r="AQ79" s="63">
        <f>IF($A79="","",IF(AM79="","Not Enrolled",IF(TODAY()&gt;AM79,"Review Overdue",IF(AM79-TODAY()&lt;=30,"Review Due Soon","Active"))))</f>
        <v/>
      </c>
      <c r="AR79" s="63">
        <f>IF($A79="","",IF(AN79="","NOT REVIEWED",IF(TODAY()-AN79&gt;90,"OVERDUE",IF(TODAY()-AN79&gt;76,"Due Soon","Current"))))</f>
        <v/>
      </c>
    </row>
    <row r="80" ht="15" customHeight="1" s="39">
      <c r="A80" s="61" t="n"/>
      <c r="B80" s="60" t="n"/>
      <c r="C80" s="61" t="n"/>
      <c r="D80" s="60" t="n"/>
      <c r="E80" s="60" t="n"/>
      <c r="F80" s="62" t="n"/>
      <c r="G80" s="62" t="n"/>
      <c r="H80" s="60" t="n"/>
      <c r="I80" s="60" t="n"/>
      <c r="J80" s="61" t="n"/>
      <c r="K80" s="61" t="n"/>
      <c r="L80" s="61" t="n"/>
      <c r="M80" s="60" t="n"/>
      <c r="N80" s="60" t="n"/>
      <c r="O80" s="60" t="n"/>
      <c r="P80" s="61" t="n"/>
      <c r="Q80" s="60" t="n"/>
      <c r="R80" s="60" t="n"/>
      <c r="S80" s="60" t="n"/>
      <c r="T80" s="61" t="n"/>
      <c r="U80" s="61" t="n"/>
      <c r="V80" s="60" t="n"/>
      <c r="W80" s="60" t="n"/>
      <c r="X80" s="60" t="n"/>
      <c r="Y80" s="60" t="n"/>
      <c r="Z80" s="61" t="n"/>
      <c r="AA80" s="60" t="n"/>
      <c r="AB80" s="60" t="n"/>
      <c r="AC80" s="60" t="n"/>
      <c r="AD80" s="60" t="n"/>
      <c r="AE80" s="63">
        <f>IF($G80="","",TODAY()-$G80)</f>
        <v/>
      </c>
      <c r="AF80" s="63">
        <f>IF($A80="","",IF($M80&gt;0,"Yes","No"))</f>
        <v/>
      </c>
      <c r="AG80" s="63">
        <f>IF($A80="","",IF(AND($E80="Yes",OR($AA80="No",$AA80="NOT FOUND")),"YES",""))</f>
        <v/>
      </c>
      <c r="AH80" s="66">
        <f>IF($A80="","",TRIM(IF(AND($Y80=0,$I80&lt;&gt;"Yes"),"T0-NoPhishResistant ","")&amp;IF($H80="No","NoMFA ","")&amp;IF(AND($Y80=0,$M80&gt;0),"T0-Standing ","")&amp;IF(AND($Y80=0,$S80="Group only"),"T0-ViaGroupOnly ","")&amp;IF($R80="Yes","BroadAzureScope ","")&amp;IF(AND($E80="Yes",$G80=""),"NeverSignedIn ","")))</f>
        <v/>
      </c>
      <c r="AI80" s="60" t="n"/>
      <c r="AJ80" s="61" t="n"/>
      <c r="AK80" s="60" t="n"/>
      <c r="AL80" s="62" t="n"/>
      <c r="AM80" s="62" t="n"/>
      <c r="AN80" s="62" t="n"/>
      <c r="AO80" s="60" t="n"/>
      <c r="AP80" s="61" t="n"/>
      <c r="AQ80" s="63">
        <f>IF($A80="","",IF(AM80="","Not Enrolled",IF(TODAY()&gt;AM80,"Review Overdue",IF(AM80-TODAY()&lt;=30,"Review Due Soon","Active"))))</f>
        <v/>
      </c>
      <c r="AR80" s="63">
        <f>IF($A80="","",IF(AN80="","NOT REVIEWED",IF(TODAY()-AN80&gt;90,"OVERDUE",IF(TODAY()-AN80&gt;76,"Due Soon","Current"))))</f>
        <v/>
      </c>
    </row>
    <row r="81" ht="15" customHeight="1" s="39">
      <c r="A81" s="61" t="n"/>
      <c r="B81" s="60" t="n"/>
      <c r="C81" s="61" t="n"/>
      <c r="D81" s="60" t="n"/>
      <c r="E81" s="60" t="n"/>
      <c r="F81" s="62" t="n"/>
      <c r="G81" s="62" t="n"/>
      <c r="H81" s="60" t="n"/>
      <c r="I81" s="60" t="n"/>
      <c r="J81" s="61" t="n"/>
      <c r="K81" s="61" t="n"/>
      <c r="L81" s="61" t="n"/>
      <c r="M81" s="60" t="n"/>
      <c r="N81" s="60" t="n"/>
      <c r="O81" s="60" t="n"/>
      <c r="P81" s="61" t="n"/>
      <c r="Q81" s="60" t="n"/>
      <c r="R81" s="60" t="n"/>
      <c r="S81" s="60" t="n"/>
      <c r="T81" s="61" t="n"/>
      <c r="U81" s="61" t="n"/>
      <c r="V81" s="60" t="n"/>
      <c r="W81" s="60" t="n"/>
      <c r="X81" s="60" t="n"/>
      <c r="Y81" s="60" t="n"/>
      <c r="Z81" s="61" t="n"/>
      <c r="AA81" s="60" t="n"/>
      <c r="AB81" s="60" t="n"/>
      <c r="AC81" s="60" t="n"/>
      <c r="AD81" s="60" t="n"/>
      <c r="AE81" s="63">
        <f>IF($G81="","",TODAY()-$G81)</f>
        <v/>
      </c>
      <c r="AF81" s="63">
        <f>IF($A81="","",IF($M81&gt;0,"Yes","No"))</f>
        <v/>
      </c>
      <c r="AG81" s="63">
        <f>IF($A81="","",IF(AND($E81="Yes",OR($AA81="No",$AA81="NOT FOUND")),"YES",""))</f>
        <v/>
      </c>
      <c r="AH81" s="66">
        <f>IF($A81="","",TRIM(IF(AND($Y81=0,$I81&lt;&gt;"Yes"),"T0-NoPhishResistant ","")&amp;IF($H81="No","NoMFA ","")&amp;IF(AND($Y81=0,$M81&gt;0),"T0-Standing ","")&amp;IF(AND($Y81=0,$S81="Group only"),"T0-ViaGroupOnly ","")&amp;IF($R81="Yes","BroadAzureScope ","")&amp;IF(AND($E81="Yes",$G81=""),"NeverSignedIn ","")))</f>
        <v/>
      </c>
      <c r="AI81" s="60" t="n"/>
      <c r="AJ81" s="61" t="n"/>
      <c r="AK81" s="60" t="n"/>
      <c r="AL81" s="62" t="n"/>
      <c r="AM81" s="62" t="n"/>
      <c r="AN81" s="62" t="n"/>
      <c r="AO81" s="60" t="n"/>
      <c r="AP81" s="61" t="n"/>
      <c r="AQ81" s="63">
        <f>IF($A81="","",IF(AM81="","Not Enrolled",IF(TODAY()&gt;AM81,"Review Overdue",IF(AM81-TODAY()&lt;=30,"Review Due Soon","Active"))))</f>
        <v/>
      </c>
      <c r="AR81" s="63">
        <f>IF($A81="","",IF(AN81="","NOT REVIEWED",IF(TODAY()-AN81&gt;90,"OVERDUE",IF(TODAY()-AN81&gt;76,"Due Soon","Current"))))</f>
        <v/>
      </c>
    </row>
    <row r="82" ht="15" customHeight="1" s="39">
      <c r="A82" s="61" t="n"/>
      <c r="B82" s="60" t="n"/>
      <c r="C82" s="61" t="n"/>
      <c r="D82" s="60" t="n"/>
      <c r="E82" s="60" t="n"/>
      <c r="F82" s="62" t="n"/>
      <c r="G82" s="62" t="n"/>
      <c r="H82" s="60" t="n"/>
      <c r="I82" s="60" t="n"/>
      <c r="J82" s="61" t="n"/>
      <c r="K82" s="61" t="n"/>
      <c r="L82" s="61" t="n"/>
      <c r="M82" s="60" t="n"/>
      <c r="N82" s="60" t="n"/>
      <c r="O82" s="60" t="n"/>
      <c r="P82" s="61" t="n"/>
      <c r="Q82" s="60" t="n"/>
      <c r="R82" s="60" t="n"/>
      <c r="S82" s="60" t="n"/>
      <c r="T82" s="61" t="n"/>
      <c r="U82" s="61" t="n"/>
      <c r="V82" s="60" t="n"/>
      <c r="W82" s="60" t="n"/>
      <c r="X82" s="60" t="n"/>
      <c r="Y82" s="60" t="n"/>
      <c r="Z82" s="61" t="n"/>
      <c r="AA82" s="60" t="n"/>
      <c r="AB82" s="60" t="n"/>
      <c r="AC82" s="60" t="n"/>
      <c r="AD82" s="60" t="n"/>
      <c r="AE82" s="63">
        <f>IF($G82="","",TODAY()-$G82)</f>
        <v/>
      </c>
      <c r="AF82" s="63">
        <f>IF($A82="","",IF($M82&gt;0,"Yes","No"))</f>
        <v/>
      </c>
      <c r="AG82" s="63">
        <f>IF($A82="","",IF(AND($E82="Yes",OR($AA82="No",$AA82="NOT FOUND")),"YES",""))</f>
        <v/>
      </c>
      <c r="AH82" s="66">
        <f>IF($A82="","",TRIM(IF(AND($Y82=0,$I82&lt;&gt;"Yes"),"T0-NoPhishResistant ","")&amp;IF($H82="No","NoMFA ","")&amp;IF(AND($Y82=0,$M82&gt;0),"T0-Standing ","")&amp;IF(AND($Y82=0,$S82="Group only"),"T0-ViaGroupOnly ","")&amp;IF($R82="Yes","BroadAzureScope ","")&amp;IF(AND($E82="Yes",$G82=""),"NeverSignedIn ","")))</f>
        <v/>
      </c>
      <c r="AI82" s="60" t="n"/>
      <c r="AJ82" s="61" t="n"/>
      <c r="AK82" s="60" t="n"/>
      <c r="AL82" s="62" t="n"/>
      <c r="AM82" s="62" t="n"/>
      <c r="AN82" s="62" t="n"/>
      <c r="AO82" s="60" t="n"/>
      <c r="AP82" s="61" t="n"/>
      <c r="AQ82" s="63">
        <f>IF($A82="","",IF(AM82="","Not Enrolled",IF(TODAY()&gt;AM82,"Review Overdue",IF(AM82-TODAY()&lt;=30,"Review Due Soon","Active"))))</f>
        <v/>
      </c>
      <c r="AR82" s="63">
        <f>IF($A82="","",IF(AN82="","NOT REVIEWED",IF(TODAY()-AN82&gt;90,"OVERDUE",IF(TODAY()-AN82&gt;76,"Due Soon","Current"))))</f>
        <v/>
      </c>
    </row>
    <row r="83" ht="15" customHeight="1" s="39">
      <c r="A83" s="61" t="n"/>
      <c r="B83" s="60" t="n"/>
      <c r="C83" s="61" t="n"/>
      <c r="D83" s="60" t="n"/>
      <c r="E83" s="60" t="n"/>
      <c r="F83" s="62" t="n"/>
      <c r="G83" s="62" t="n"/>
      <c r="H83" s="60" t="n"/>
      <c r="I83" s="60" t="n"/>
      <c r="J83" s="61" t="n"/>
      <c r="K83" s="61" t="n"/>
      <c r="L83" s="61" t="n"/>
      <c r="M83" s="60" t="n"/>
      <c r="N83" s="60" t="n"/>
      <c r="O83" s="60" t="n"/>
      <c r="P83" s="61" t="n"/>
      <c r="Q83" s="60" t="n"/>
      <c r="R83" s="60" t="n"/>
      <c r="S83" s="60" t="n"/>
      <c r="T83" s="61" t="n"/>
      <c r="U83" s="61" t="n"/>
      <c r="V83" s="60" t="n"/>
      <c r="W83" s="60" t="n"/>
      <c r="X83" s="60" t="n"/>
      <c r="Y83" s="60" t="n"/>
      <c r="Z83" s="61" t="n"/>
      <c r="AA83" s="60" t="n"/>
      <c r="AB83" s="60" t="n"/>
      <c r="AC83" s="60" t="n"/>
      <c r="AD83" s="60" t="n"/>
      <c r="AE83" s="63">
        <f>IF($G83="","",TODAY()-$G83)</f>
        <v/>
      </c>
      <c r="AF83" s="63">
        <f>IF($A83="","",IF($M83&gt;0,"Yes","No"))</f>
        <v/>
      </c>
      <c r="AG83" s="63">
        <f>IF($A83="","",IF(AND($E83="Yes",OR($AA83="No",$AA83="NOT FOUND")),"YES",""))</f>
        <v/>
      </c>
      <c r="AH83" s="66">
        <f>IF($A83="","",TRIM(IF(AND($Y83=0,$I83&lt;&gt;"Yes"),"T0-NoPhishResistant ","")&amp;IF($H83="No","NoMFA ","")&amp;IF(AND($Y83=0,$M83&gt;0),"T0-Standing ","")&amp;IF(AND($Y83=0,$S83="Group only"),"T0-ViaGroupOnly ","")&amp;IF($R83="Yes","BroadAzureScope ","")&amp;IF(AND($E83="Yes",$G83=""),"NeverSignedIn ","")))</f>
        <v/>
      </c>
      <c r="AI83" s="60" t="n"/>
      <c r="AJ83" s="61" t="n"/>
      <c r="AK83" s="60" t="n"/>
      <c r="AL83" s="62" t="n"/>
      <c r="AM83" s="62" t="n"/>
      <c r="AN83" s="62" t="n"/>
      <c r="AO83" s="60" t="n"/>
      <c r="AP83" s="61" t="n"/>
      <c r="AQ83" s="63">
        <f>IF($A83="","",IF(AM83="","Not Enrolled",IF(TODAY()&gt;AM83,"Review Overdue",IF(AM83-TODAY()&lt;=30,"Review Due Soon","Active"))))</f>
        <v/>
      </c>
      <c r="AR83" s="63">
        <f>IF($A83="","",IF(AN83="","NOT REVIEWED",IF(TODAY()-AN83&gt;90,"OVERDUE",IF(TODAY()-AN83&gt;76,"Due Soon","Current"))))</f>
        <v/>
      </c>
    </row>
    <row r="84" ht="15" customHeight="1" s="39">
      <c r="A84" s="61" t="n"/>
      <c r="B84" s="60" t="n"/>
      <c r="C84" s="61" t="n"/>
      <c r="D84" s="60" t="n"/>
      <c r="E84" s="60" t="n"/>
      <c r="F84" s="62" t="n"/>
      <c r="G84" s="62" t="n"/>
      <c r="H84" s="60" t="n"/>
      <c r="I84" s="60" t="n"/>
      <c r="J84" s="61" t="n"/>
      <c r="K84" s="61" t="n"/>
      <c r="L84" s="61" t="n"/>
      <c r="M84" s="60" t="n"/>
      <c r="N84" s="60" t="n"/>
      <c r="O84" s="60" t="n"/>
      <c r="P84" s="61" t="n"/>
      <c r="Q84" s="60" t="n"/>
      <c r="R84" s="60" t="n"/>
      <c r="S84" s="60" t="n"/>
      <c r="T84" s="61" t="n"/>
      <c r="U84" s="61" t="n"/>
      <c r="V84" s="60" t="n"/>
      <c r="W84" s="60" t="n"/>
      <c r="X84" s="60" t="n"/>
      <c r="Y84" s="60" t="n"/>
      <c r="Z84" s="61" t="n"/>
      <c r="AA84" s="60" t="n"/>
      <c r="AB84" s="60" t="n"/>
      <c r="AC84" s="60" t="n"/>
      <c r="AD84" s="60" t="n"/>
      <c r="AE84" s="63">
        <f>IF($G84="","",TODAY()-$G84)</f>
        <v/>
      </c>
      <c r="AF84" s="63">
        <f>IF($A84="","",IF($M84&gt;0,"Yes","No"))</f>
        <v/>
      </c>
      <c r="AG84" s="63">
        <f>IF($A84="","",IF(AND($E84="Yes",OR($AA84="No",$AA84="NOT FOUND")),"YES",""))</f>
        <v/>
      </c>
      <c r="AH84" s="66">
        <f>IF($A84="","",TRIM(IF(AND($Y84=0,$I84&lt;&gt;"Yes"),"T0-NoPhishResistant ","")&amp;IF($H84="No","NoMFA ","")&amp;IF(AND($Y84=0,$M84&gt;0),"T0-Standing ","")&amp;IF(AND($Y84=0,$S84="Group only"),"T0-ViaGroupOnly ","")&amp;IF($R84="Yes","BroadAzureScope ","")&amp;IF(AND($E84="Yes",$G84=""),"NeverSignedIn ","")))</f>
        <v/>
      </c>
      <c r="AI84" s="60" t="n"/>
      <c r="AJ84" s="61" t="n"/>
      <c r="AK84" s="60" t="n"/>
      <c r="AL84" s="62" t="n"/>
      <c r="AM84" s="62" t="n"/>
      <c r="AN84" s="62" t="n"/>
      <c r="AO84" s="60" t="n"/>
      <c r="AP84" s="61" t="n"/>
      <c r="AQ84" s="63">
        <f>IF($A84="","",IF(AM84="","Not Enrolled",IF(TODAY()&gt;AM84,"Review Overdue",IF(AM84-TODAY()&lt;=30,"Review Due Soon","Active"))))</f>
        <v/>
      </c>
      <c r="AR84" s="63">
        <f>IF($A84="","",IF(AN84="","NOT REVIEWED",IF(TODAY()-AN84&gt;90,"OVERDUE",IF(TODAY()-AN84&gt;76,"Due Soon","Current"))))</f>
        <v/>
      </c>
    </row>
    <row r="85" ht="15" customHeight="1" s="39">
      <c r="A85" s="61" t="n"/>
      <c r="B85" s="60" t="n"/>
      <c r="C85" s="61" t="n"/>
      <c r="D85" s="60" t="n"/>
      <c r="E85" s="60" t="n"/>
      <c r="F85" s="62" t="n"/>
      <c r="G85" s="62" t="n"/>
      <c r="H85" s="60" t="n"/>
      <c r="I85" s="60" t="n"/>
      <c r="J85" s="61" t="n"/>
      <c r="K85" s="61" t="n"/>
      <c r="L85" s="61" t="n"/>
      <c r="M85" s="60" t="n"/>
      <c r="N85" s="60" t="n"/>
      <c r="O85" s="60" t="n"/>
      <c r="P85" s="61" t="n"/>
      <c r="Q85" s="60" t="n"/>
      <c r="R85" s="60" t="n"/>
      <c r="S85" s="60" t="n"/>
      <c r="T85" s="61" t="n"/>
      <c r="U85" s="61" t="n"/>
      <c r="V85" s="60" t="n"/>
      <c r="W85" s="60" t="n"/>
      <c r="X85" s="60" t="n"/>
      <c r="Y85" s="60" t="n"/>
      <c r="Z85" s="61" t="n"/>
      <c r="AA85" s="60" t="n"/>
      <c r="AB85" s="60" t="n"/>
      <c r="AC85" s="60" t="n"/>
      <c r="AD85" s="60" t="n"/>
      <c r="AE85" s="63">
        <f>IF($G85="","",TODAY()-$G85)</f>
        <v/>
      </c>
      <c r="AF85" s="63">
        <f>IF($A85="","",IF($M85&gt;0,"Yes","No"))</f>
        <v/>
      </c>
      <c r="AG85" s="63">
        <f>IF($A85="","",IF(AND($E85="Yes",OR($AA85="No",$AA85="NOT FOUND")),"YES",""))</f>
        <v/>
      </c>
      <c r="AH85" s="66">
        <f>IF($A85="","",TRIM(IF(AND($Y85=0,$I85&lt;&gt;"Yes"),"T0-NoPhishResistant ","")&amp;IF($H85="No","NoMFA ","")&amp;IF(AND($Y85=0,$M85&gt;0),"T0-Standing ","")&amp;IF(AND($Y85=0,$S85="Group only"),"T0-ViaGroupOnly ","")&amp;IF($R85="Yes","BroadAzureScope ","")&amp;IF(AND($E85="Yes",$G85=""),"NeverSignedIn ","")))</f>
        <v/>
      </c>
      <c r="AI85" s="60" t="n"/>
      <c r="AJ85" s="61" t="n"/>
      <c r="AK85" s="60" t="n"/>
      <c r="AL85" s="62" t="n"/>
      <c r="AM85" s="62" t="n"/>
      <c r="AN85" s="62" t="n"/>
      <c r="AO85" s="60" t="n"/>
      <c r="AP85" s="61" t="n"/>
      <c r="AQ85" s="63">
        <f>IF($A85="","",IF(AM85="","Not Enrolled",IF(TODAY()&gt;AM85,"Review Overdue",IF(AM85-TODAY()&lt;=30,"Review Due Soon","Active"))))</f>
        <v/>
      </c>
      <c r="AR85" s="63">
        <f>IF($A85="","",IF(AN85="","NOT REVIEWED",IF(TODAY()-AN85&gt;90,"OVERDUE",IF(TODAY()-AN85&gt;76,"Due Soon","Current"))))</f>
        <v/>
      </c>
    </row>
    <row r="86" ht="15" customHeight="1" s="39">
      <c r="A86" s="61" t="n"/>
      <c r="B86" s="60" t="n"/>
      <c r="C86" s="61" t="n"/>
      <c r="D86" s="60" t="n"/>
      <c r="E86" s="60" t="n"/>
      <c r="F86" s="62" t="n"/>
      <c r="G86" s="62" t="n"/>
      <c r="H86" s="60" t="n"/>
      <c r="I86" s="60" t="n"/>
      <c r="J86" s="61" t="n"/>
      <c r="K86" s="61" t="n"/>
      <c r="L86" s="61" t="n"/>
      <c r="M86" s="60" t="n"/>
      <c r="N86" s="60" t="n"/>
      <c r="O86" s="60" t="n"/>
      <c r="P86" s="61" t="n"/>
      <c r="Q86" s="60" t="n"/>
      <c r="R86" s="60" t="n"/>
      <c r="S86" s="60" t="n"/>
      <c r="T86" s="61" t="n"/>
      <c r="U86" s="61" t="n"/>
      <c r="V86" s="60" t="n"/>
      <c r="W86" s="60" t="n"/>
      <c r="X86" s="60" t="n"/>
      <c r="Y86" s="60" t="n"/>
      <c r="Z86" s="61" t="n"/>
      <c r="AA86" s="60" t="n"/>
      <c r="AB86" s="60" t="n"/>
      <c r="AC86" s="60" t="n"/>
      <c r="AD86" s="60" t="n"/>
      <c r="AE86" s="63">
        <f>IF($G86="","",TODAY()-$G86)</f>
        <v/>
      </c>
      <c r="AF86" s="63">
        <f>IF($A86="","",IF($M86&gt;0,"Yes","No"))</f>
        <v/>
      </c>
      <c r="AG86" s="63">
        <f>IF($A86="","",IF(AND($E86="Yes",OR($AA86="No",$AA86="NOT FOUND")),"YES",""))</f>
        <v/>
      </c>
      <c r="AH86" s="66">
        <f>IF($A86="","",TRIM(IF(AND($Y86=0,$I86&lt;&gt;"Yes"),"T0-NoPhishResistant ","")&amp;IF($H86="No","NoMFA ","")&amp;IF(AND($Y86=0,$M86&gt;0),"T0-Standing ","")&amp;IF(AND($Y86=0,$S86="Group only"),"T0-ViaGroupOnly ","")&amp;IF($R86="Yes","BroadAzureScope ","")&amp;IF(AND($E86="Yes",$G86=""),"NeverSignedIn ","")))</f>
        <v/>
      </c>
      <c r="AI86" s="60" t="n"/>
      <c r="AJ86" s="61" t="n"/>
      <c r="AK86" s="60" t="n"/>
      <c r="AL86" s="62" t="n"/>
      <c r="AM86" s="62" t="n"/>
      <c r="AN86" s="62" t="n"/>
      <c r="AO86" s="60" t="n"/>
      <c r="AP86" s="61" t="n"/>
      <c r="AQ86" s="63">
        <f>IF($A86="","",IF(AM86="","Not Enrolled",IF(TODAY()&gt;AM86,"Review Overdue",IF(AM86-TODAY()&lt;=30,"Review Due Soon","Active"))))</f>
        <v/>
      </c>
      <c r="AR86" s="63">
        <f>IF($A86="","",IF(AN86="","NOT REVIEWED",IF(TODAY()-AN86&gt;90,"OVERDUE",IF(TODAY()-AN86&gt;76,"Due Soon","Current"))))</f>
        <v/>
      </c>
    </row>
    <row r="87" ht="15" customHeight="1" s="39">
      <c r="A87" s="61" t="n"/>
      <c r="B87" s="60" t="n"/>
      <c r="C87" s="61" t="n"/>
      <c r="D87" s="60" t="n"/>
      <c r="E87" s="60" t="n"/>
      <c r="F87" s="62" t="n"/>
      <c r="G87" s="62" t="n"/>
      <c r="H87" s="60" t="n"/>
      <c r="I87" s="60" t="n"/>
      <c r="J87" s="61" t="n"/>
      <c r="K87" s="61" t="n"/>
      <c r="L87" s="61" t="n"/>
      <c r="M87" s="60" t="n"/>
      <c r="N87" s="60" t="n"/>
      <c r="O87" s="60" t="n"/>
      <c r="P87" s="61" t="n"/>
      <c r="Q87" s="60" t="n"/>
      <c r="R87" s="60" t="n"/>
      <c r="S87" s="60" t="n"/>
      <c r="T87" s="61" t="n"/>
      <c r="U87" s="61" t="n"/>
      <c r="V87" s="60" t="n"/>
      <c r="W87" s="60" t="n"/>
      <c r="X87" s="60" t="n"/>
      <c r="Y87" s="60" t="n"/>
      <c r="Z87" s="61" t="n"/>
      <c r="AA87" s="60" t="n"/>
      <c r="AB87" s="60" t="n"/>
      <c r="AC87" s="60" t="n"/>
      <c r="AD87" s="60" t="n"/>
      <c r="AE87" s="63">
        <f>IF($G87="","",TODAY()-$G87)</f>
        <v/>
      </c>
      <c r="AF87" s="63">
        <f>IF($A87="","",IF($M87&gt;0,"Yes","No"))</f>
        <v/>
      </c>
      <c r="AG87" s="63">
        <f>IF($A87="","",IF(AND($E87="Yes",OR($AA87="No",$AA87="NOT FOUND")),"YES",""))</f>
        <v/>
      </c>
      <c r="AH87" s="66">
        <f>IF($A87="","",TRIM(IF(AND($Y87=0,$I87&lt;&gt;"Yes"),"T0-NoPhishResistant ","")&amp;IF($H87="No","NoMFA ","")&amp;IF(AND($Y87=0,$M87&gt;0),"T0-Standing ","")&amp;IF(AND($Y87=0,$S87="Group only"),"T0-ViaGroupOnly ","")&amp;IF($R87="Yes","BroadAzureScope ","")&amp;IF(AND($E87="Yes",$G87=""),"NeverSignedIn ","")))</f>
        <v/>
      </c>
      <c r="AI87" s="60" t="n"/>
      <c r="AJ87" s="61" t="n"/>
      <c r="AK87" s="60" t="n"/>
      <c r="AL87" s="62" t="n"/>
      <c r="AM87" s="62" t="n"/>
      <c r="AN87" s="62" t="n"/>
      <c r="AO87" s="60" t="n"/>
      <c r="AP87" s="61" t="n"/>
      <c r="AQ87" s="63">
        <f>IF($A87="","",IF(AM87="","Not Enrolled",IF(TODAY()&gt;AM87,"Review Overdue",IF(AM87-TODAY()&lt;=30,"Review Due Soon","Active"))))</f>
        <v/>
      </c>
      <c r="AR87" s="63">
        <f>IF($A87="","",IF(AN87="","NOT REVIEWED",IF(TODAY()-AN87&gt;90,"OVERDUE",IF(TODAY()-AN87&gt;76,"Due Soon","Current"))))</f>
        <v/>
      </c>
    </row>
    <row r="88" ht="15" customHeight="1" s="39">
      <c r="A88" s="61" t="n"/>
      <c r="B88" s="60" t="n"/>
      <c r="C88" s="61" t="n"/>
      <c r="D88" s="60" t="n"/>
      <c r="E88" s="60" t="n"/>
      <c r="F88" s="62" t="n"/>
      <c r="G88" s="62" t="n"/>
      <c r="H88" s="60" t="n"/>
      <c r="I88" s="60" t="n"/>
      <c r="J88" s="61" t="n"/>
      <c r="K88" s="61" t="n"/>
      <c r="L88" s="61" t="n"/>
      <c r="M88" s="60" t="n"/>
      <c r="N88" s="60" t="n"/>
      <c r="O88" s="60" t="n"/>
      <c r="P88" s="61" t="n"/>
      <c r="Q88" s="60" t="n"/>
      <c r="R88" s="60" t="n"/>
      <c r="S88" s="60" t="n"/>
      <c r="T88" s="61" t="n"/>
      <c r="U88" s="61" t="n"/>
      <c r="V88" s="60" t="n"/>
      <c r="W88" s="60" t="n"/>
      <c r="X88" s="60" t="n"/>
      <c r="Y88" s="60" t="n"/>
      <c r="Z88" s="61" t="n"/>
      <c r="AA88" s="60" t="n"/>
      <c r="AB88" s="60" t="n"/>
      <c r="AC88" s="60" t="n"/>
      <c r="AD88" s="60" t="n"/>
      <c r="AE88" s="63">
        <f>IF($G88="","",TODAY()-$G88)</f>
        <v/>
      </c>
      <c r="AF88" s="63">
        <f>IF($A88="","",IF($M88&gt;0,"Yes","No"))</f>
        <v/>
      </c>
      <c r="AG88" s="63">
        <f>IF($A88="","",IF(AND($E88="Yes",OR($AA88="No",$AA88="NOT FOUND")),"YES",""))</f>
        <v/>
      </c>
      <c r="AH88" s="66">
        <f>IF($A88="","",TRIM(IF(AND($Y88=0,$I88&lt;&gt;"Yes"),"T0-NoPhishResistant ","")&amp;IF($H88="No","NoMFA ","")&amp;IF(AND($Y88=0,$M88&gt;0),"T0-Standing ","")&amp;IF(AND($Y88=0,$S88="Group only"),"T0-ViaGroupOnly ","")&amp;IF($R88="Yes","BroadAzureScope ","")&amp;IF(AND($E88="Yes",$G88=""),"NeverSignedIn ","")))</f>
        <v/>
      </c>
      <c r="AI88" s="60" t="n"/>
      <c r="AJ88" s="61" t="n"/>
      <c r="AK88" s="60" t="n"/>
      <c r="AL88" s="62" t="n"/>
      <c r="AM88" s="62" t="n"/>
      <c r="AN88" s="62" t="n"/>
      <c r="AO88" s="60" t="n"/>
      <c r="AP88" s="61" t="n"/>
      <c r="AQ88" s="63">
        <f>IF($A88="","",IF(AM88="","Not Enrolled",IF(TODAY()&gt;AM88,"Review Overdue",IF(AM88-TODAY()&lt;=30,"Review Due Soon","Active"))))</f>
        <v/>
      </c>
      <c r="AR88" s="63">
        <f>IF($A88="","",IF(AN88="","NOT REVIEWED",IF(TODAY()-AN88&gt;90,"OVERDUE",IF(TODAY()-AN88&gt;76,"Due Soon","Current"))))</f>
        <v/>
      </c>
    </row>
    <row r="89" ht="15" customHeight="1" s="39">
      <c r="A89" s="61" t="n"/>
      <c r="B89" s="60" t="n"/>
      <c r="C89" s="61" t="n"/>
      <c r="D89" s="60" t="n"/>
      <c r="E89" s="60" t="n"/>
      <c r="F89" s="62" t="n"/>
      <c r="G89" s="62" t="n"/>
      <c r="H89" s="60" t="n"/>
      <c r="I89" s="60" t="n"/>
      <c r="J89" s="61" t="n"/>
      <c r="K89" s="61" t="n"/>
      <c r="L89" s="61" t="n"/>
      <c r="M89" s="60" t="n"/>
      <c r="N89" s="60" t="n"/>
      <c r="O89" s="60" t="n"/>
      <c r="P89" s="61" t="n"/>
      <c r="Q89" s="60" t="n"/>
      <c r="R89" s="60" t="n"/>
      <c r="S89" s="60" t="n"/>
      <c r="T89" s="61" t="n"/>
      <c r="U89" s="61" t="n"/>
      <c r="V89" s="60" t="n"/>
      <c r="W89" s="60" t="n"/>
      <c r="X89" s="60" t="n"/>
      <c r="Y89" s="60" t="n"/>
      <c r="Z89" s="61" t="n"/>
      <c r="AA89" s="60" t="n"/>
      <c r="AB89" s="60" t="n"/>
      <c r="AC89" s="60" t="n"/>
      <c r="AD89" s="60" t="n"/>
      <c r="AE89" s="63">
        <f>IF($G89="","",TODAY()-$G89)</f>
        <v/>
      </c>
      <c r="AF89" s="63">
        <f>IF($A89="","",IF($M89&gt;0,"Yes","No"))</f>
        <v/>
      </c>
      <c r="AG89" s="63">
        <f>IF($A89="","",IF(AND($E89="Yes",OR($AA89="No",$AA89="NOT FOUND")),"YES",""))</f>
        <v/>
      </c>
      <c r="AH89" s="66">
        <f>IF($A89="","",TRIM(IF(AND($Y89=0,$I89&lt;&gt;"Yes"),"T0-NoPhishResistant ","")&amp;IF($H89="No","NoMFA ","")&amp;IF(AND($Y89=0,$M89&gt;0),"T0-Standing ","")&amp;IF(AND($Y89=0,$S89="Group only"),"T0-ViaGroupOnly ","")&amp;IF($R89="Yes","BroadAzureScope ","")&amp;IF(AND($E89="Yes",$G89=""),"NeverSignedIn ","")))</f>
        <v/>
      </c>
      <c r="AI89" s="60" t="n"/>
      <c r="AJ89" s="61" t="n"/>
      <c r="AK89" s="60" t="n"/>
      <c r="AL89" s="62" t="n"/>
      <c r="AM89" s="62" t="n"/>
      <c r="AN89" s="62" t="n"/>
      <c r="AO89" s="60" t="n"/>
      <c r="AP89" s="61" t="n"/>
      <c r="AQ89" s="63">
        <f>IF($A89="","",IF(AM89="","Not Enrolled",IF(TODAY()&gt;AM89,"Review Overdue",IF(AM89-TODAY()&lt;=30,"Review Due Soon","Active"))))</f>
        <v/>
      </c>
      <c r="AR89" s="63">
        <f>IF($A89="","",IF(AN89="","NOT REVIEWED",IF(TODAY()-AN89&gt;90,"OVERDUE",IF(TODAY()-AN89&gt;76,"Due Soon","Current"))))</f>
        <v/>
      </c>
    </row>
    <row r="90" ht="15" customHeight="1" s="39">
      <c r="A90" s="61" t="n"/>
      <c r="B90" s="60" t="n"/>
      <c r="C90" s="61" t="n"/>
      <c r="D90" s="60" t="n"/>
      <c r="E90" s="60" t="n"/>
      <c r="F90" s="62" t="n"/>
      <c r="G90" s="62" t="n"/>
      <c r="H90" s="60" t="n"/>
      <c r="I90" s="60" t="n"/>
      <c r="J90" s="61" t="n"/>
      <c r="K90" s="61" t="n"/>
      <c r="L90" s="61" t="n"/>
      <c r="M90" s="60" t="n"/>
      <c r="N90" s="60" t="n"/>
      <c r="O90" s="60" t="n"/>
      <c r="P90" s="61" t="n"/>
      <c r="Q90" s="60" t="n"/>
      <c r="R90" s="60" t="n"/>
      <c r="S90" s="60" t="n"/>
      <c r="T90" s="61" t="n"/>
      <c r="U90" s="61" t="n"/>
      <c r="V90" s="60" t="n"/>
      <c r="W90" s="60" t="n"/>
      <c r="X90" s="60" t="n"/>
      <c r="Y90" s="60" t="n"/>
      <c r="Z90" s="61" t="n"/>
      <c r="AA90" s="60" t="n"/>
      <c r="AB90" s="60" t="n"/>
      <c r="AC90" s="60" t="n"/>
      <c r="AD90" s="60" t="n"/>
      <c r="AE90" s="63">
        <f>IF($G90="","",TODAY()-$G90)</f>
        <v/>
      </c>
      <c r="AF90" s="63">
        <f>IF($A90="","",IF($M90&gt;0,"Yes","No"))</f>
        <v/>
      </c>
      <c r="AG90" s="63">
        <f>IF($A90="","",IF(AND($E90="Yes",OR($AA90="No",$AA90="NOT FOUND")),"YES",""))</f>
        <v/>
      </c>
      <c r="AH90" s="66">
        <f>IF($A90="","",TRIM(IF(AND($Y90=0,$I90&lt;&gt;"Yes"),"T0-NoPhishResistant ","")&amp;IF($H90="No","NoMFA ","")&amp;IF(AND($Y90=0,$M90&gt;0),"T0-Standing ","")&amp;IF(AND($Y90=0,$S90="Group only"),"T0-ViaGroupOnly ","")&amp;IF($R90="Yes","BroadAzureScope ","")&amp;IF(AND($E90="Yes",$G90=""),"NeverSignedIn ","")))</f>
        <v/>
      </c>
      <c r="AI90" s="60" t="n"/>
      <c r="AJ90" s="61" t="n"/>
      <c r="AK90" s="60" t="n"/>
      <c r="AL90" s="62" t="n"/>
      <c r="AM90" s="62" t="n"/>
      <c r="AN90" s="62" t="n"/>
      <c r="AO90" s="60" t="n"/>
      <c r="AP90" s="61" t="n"/>
      <c r="AQ90" s="63">
        <f>IF($A90="","",IF(AM90="","Not Enrolled",IF(TODAY()&gt;AM90,"Review Overdue",IF(AM90-TODAY()&lt;=30,"Review Due Soon","Active"))))</f>
        <v/>
      </c>
      <c r="AR90" s="63">
        <f>IF($A90="","",IF(AN90="","NOT REVIEWED",IF(TODAY()-AN90&gt;90,"OVERDUE",IF(TODAY()-AN90&gt;76,"Due Soon","Current"))))</f>
        <v/>
      </c>
    </row>
    <row r="91" ht="15" customHeight="1" s="39">
      <c r="A91" s="61" t="n"/>
      <c r="B91" s="60" t="n"/>
      <c r="C91" s="61" t="n"/>
      <c r="D91" s="60" t="n"/>
      <c r="E91" s="60" t="n"/>
      <c r="F91" s="62" t="n"/>
      <c r="G91" s="62" t="n"/>
      <c r="H91" s="60" t="n"/>
      <c r="I91" s="60" t="n"/>
      <c r="J91" s="61" t="n"/>
      <c r="K91" s="61" t="n"/>
      <c r="L91" s="61" t="n"/>
      <c r="M91" s="60" t="n"/>
      <c r="N91" s="60" t="n"/>
      <c r="O91" s="60" t="n"/>
      <c r="P91" s="61" t="n"/>
      <c r="Q91" s="60" t="n"/>
      <c r="R91" s="60" t="n"/>
      <c r="S91" s="60" t="n"/>
      <c r="T91" s="61" t="n"/>
      <c r="U91" s="61" t="n"/>
      <c r="V91" s="60" t="n"/>
      <c r="W91" s="60" t="n"/>
      <c r="X91" s="60" t="n"/>
      <c r="Y91" s="60" t="n"/>
      <c r="Z91" s="61" t="n"/>
      <c r="AA91" s="60" t="n"/>
      <c r="AB91" s="60" t="n"/>
      <c r="AC91" s="60" t="n"/>
      <c r="AD91" s="60" t="n"/>
      <c r="AE91" s="63">
        <f>IF($G91="","",TODAY()-$G91)</f>
        <v/>
      </c>
      <c r="AF91" s="63">
        <f>IF($A91="","",IF($M91&gt;0,"Yes","No"))</f>
        <v/>
      </c>
      <c r="AG91" s="63">
        <f>IF($A91="","",IF(AND($E91="Yes",OR($AA91="No",$AA91="NOT FOUND")),"YES",""))</f>
        <v/>
      </c>
      <c r="AH91" s="66">
        <f>IF($A91="","",TRIM(IF(AND($Y91=0,$I91&lt;&gt;"Yes"),"T0-NoPhishResistant ","")&amp;IF($H91="No","NoMFA ","")&amp;IF(AND($Y91=0,$M91&gt;0),"T0-Standing ","")&amp;IF(AND($Y91=0,$S91="Group only"),"T0-ViaGroupOnly ","")&amp;IF($R91="Yes","BroadAzureScope ","")&amp;IF(AND($E91="Yes",$G91=""),"NeverSignedIn ","")))</f>
        <v/>
      </c>
      <c r="AI91" s="60" t="n"/>
      <c r="AJ91" s="61" t="n"/>
      <c r="AK91" s="60" t="n"/>
      <c r="AL91" s="62" t="n"/>
      <c r="AM91" s="62" t="n"/>
      <c r="AN91" s="62" t="n"/>
      <c r="AO91" s="60" t="n"/>
      <c r="AP91" s="61" t="n"/>
      <c r="AQ91" s="63">
        <f>IF($A91="","",IF(AM91="","Not Enrolled",IF(TODAY()&gt;AM91,"Review Overdue",IF(AM91-TODAY()&lt;=30,"Review Due Soon","Active"))))</f>
        <v/>
      </c>
      <c r="AR91" s="63">
        <f>IF($A91="","",IF(AN91="","NOT REVIEWED",IF(TODAY()-AN91&gt;90,"OVERDUE",IF(TODAY()-AN91&gt;76,"Due Soon","Current"))))</f>
        <v/>
      </c>
    </row>
    <row r="92" ht="15" customHeight="1" s="39">
      <c r="A92" s="61" t="n"/>
      <c r="B92" s="60" t="n"/>
      <c r="C92" s="61" t="n"/>
      <c r="D92" s="60" t="n"/>
      <c r="E92" s="60" t="n"/>
      <c r="F92" s="62" t="n"/>
      <c r="G92" s="62" t="n"/>
      <c r="H92" s="60" t="n"/>
      <c r="I92" s="60" t="n"/>
      <c r="J92" s="61" t="n"/>
      <c r="K92" s="61" t="n"/>
      <c r="L92" s="61" t="n"/>
      <c r="M92" s="60" t="n"/>
      <c r="N92" s="60" t="n"/>
      <c r="O92" s="60" t="n"/>
      <c r="P92" s="61" t="n"/>
      <c r="Q92" s="60" t="n"/>
      <c r="R92" s="60" t="n"/>
      <c r="S92" s="60" t="n"/>
      <c r="T92" s="61" t="n"/>
      <c r="U92" s="61" t="n"/>
      <c r="V92" s="60" t="n"/>
      <c r="W92" s="60" t="n"/>
      <c r="X92" s="60" t="n"/>
      <c r="Y92" s="60" t="n"/>
      <c r="Z92" s="61" t="n"/>
      <c r="AA92" s="60" t="n"/>
      <c r="AB92" s="60" t="n"/>
      <c r="AC92" s="60" t="n"/>
      <c r="AD92" s="60" t="n"/>
      <c r="AE92" s="63">
        <f>IF($G92="","",TODAY()-$G92)</f>
        <v/>
      </c>
      <c r="AF92" s="63">
        <f>IF($A92="","",IF($M92&gt;0,"Yes","No"))</f>
        <v/>
      </c>
      <c r="AG92" s="63">
        <f>IF($A92="","",IF(AND($E92="Yes",OR($AA92="No",$AA92="NOT FOUND")),"YES",""))</f>
        <v/>
      </c>
      <c r="AH92" s="66">
        <f>IF($A92="","",TRIM(IF(AND($Y92=0,$I92&lt;&gt;"Yes"),"T0-NoPhishResistant ","")&amp;IF($H92="No","NoMFA ","")&amp;IF(AND($Y92=0,$M92&gt;0),"T0-Standing ","")&amp;IF(AND($Y92=0,$S92="Group only"),"T0-ViaGroupOnly ","")&amp;IF($R92="Yes","BroadAzureScope ","")&amp;IF(AND($E92="Yes",$G92=""),"NeverSignedIn ","")))</f>
        <v/>
      </c>
      <c r="AI92" s="60" t="n"/>
      <c r="AJ92" s="61" t="n"/>
      <c r="AK92" s="60" t="n"/>
      <c r="AL92" s="62" t="n"/>
      <c r="AM92" s="62" t="n"/>
      <c r="AN92" s="62" t="n"/>
      <c r="AO92" s="60" t="n"/>
      <c r="AP92" s="61" t="n"/>
      <c r="AQ92" s="63">
        <f>IF($A92="","",IF(AM92="","Not Enrolled",IF(TODAY()&gt;AM92,"Review Overdue",IF(AM92-TODAY()&lt;=30,"Review Due Soon","Active"))))</f>
        <v/>
      </c>
      <c r="AR92" s="63">
        <f>IF($A92="","",IF(AN92="","NOT REVIEWED",IF(TODAY()-AN92&gt;90,"OVERDUE",IF(TODAY()-AN92&gt;76,"Due Soon","Current"))))</f>
        <v/>
      </c>
    </row>
    <row r="93" ht="15" customHeight="1" s="39">
      <c r="A93" s="61" t="n"/>
      <c r="B93" s="60" t="n"/>
      <c r="C93" s="61" t="n"/>
      <c r="D93" s="60" t="n"/>
      <c r="E93" s="60" t="n"/>
      <c r="F93" s="62" t="n"/>
      <c r="G93" s="62" t="n"/>
      <c r="H93" s="60" t="n"/>
      <c r="I93" s="60" t="n"/>
      <c r="J93" s="61" t="n"/>
      <c r="K93" s="61" t="n"/>
      <c r="L93" s="61" t="n"/>
      <c r="M93" s="60" t="n"/>
      <c r="N93" s="60" t="n"/>
      <c r="O93" s="60" t="n"/>
      <c r="P93" s="61" t="n"/>
      <c r="Q93" s="60" t="n"/>
      <c r="R93" s="60" t="n"/>
      <c r="S93" s="60" t="n"/>
      <c r="T93" s="61" t="n"/>
      <c r="U93" s="61" t="n"/>
      <c r="V93" s="60" t="n"/>
      <c r="W93" s="60" t="n"/>
      <c r="X93" s="60" t="n"/>
      <c r="Y93" s="60" t="n"/>
      <c r="Z93" s="61" t="n"/>
      <c r="AA93" s="60" t="n"/>
      <c r="AB93" s="60" t="n"/>
      <c r="AC93" s="60" t="n"/>
      <c r="AD93" s="60" t="n"/>
      <c r="AE93" s="63">
        <f>IF($G93="","",TODAY()-$G93)</f>
        <v/>
      </c>
      <c r="AF93" s="63">
        <f>IF($A93="","",IF($M93&gt;0,"Yes","No"))</f>
        <v/>
      </c>
      <c r="AG93" s="63">
        <f>IF($A93="","",IF(AND($E93="Yes",OR($AA93="No",$AA93="NOT FOUND")),"YES",""))</f>
        <v/>
      </c>
      <c r="AH93" s="66">
        <f>IF($A93="","",TRIM(IF(AND($Y93=0,$I93&lt;&gt;"Yes"),"T0-NoPhishResistant ","")&amp;IF($H93="No","NoMFA ","")&amp;IF(AND($Y93=0,$M93&gt;0),"T0-Standing ","")&amp;IF(AND($Y93=0,$S93="Group only"),"T0-ViaGroupOnly ","")&amp;IF($R93="Yes","BroadAzureScope ","")&amp;IF(AND($E93="Yes",$G93=""),"NeverSignedIn ","")))</f>
        <v/>
      </c>
      <c r="AI93" s="60" t="n"/>
      <c r="AJ93" s="61" t="n"/>
      <c r="AK93" s="60" t="n"/>
      <c r="AL93" s="62" t="n"/>
      <c r="AM93" s="62" t="n"/>
      <c r="AN93" s="62" t="n"/>
      <c r="AO93" s="60" t="n"/>
      <c r="AP93" s="61" t="n"/>
      <c r="AQ93" s="63">
        <f>IF($A93="","",IF(AM93="","Not Enrolled",IF(TODAY()&gt;AM93,"Review Overdue",IF(AM93-TODAY()&lt;=30,"Review Due Soon","Active"))))</f>
        <v/>
      </c>
      <c r="AR93" s="63">
        <f>IF($A93="","",IF(AN93="","NOT REVIEWED",IF(TODAY()-AN93&gt;90,"OVERDUE",IF(TODAY()-AN93&gt;76,"Due Soon","Current"))))</f>
        <v/>
      </c>
    </row>
    <row r="94" ht="15" customHeight="1" s="39">
      <c r="A94" s="61" t="n"/>
      <c r="B94" s="60" t="n"/>
      <c r="C94" s="61" t="n"/>
      <c r="D94" s="60" t="n"/>
      <c r="E94" s="60" t="n"/>
      <c r="F94" s="62" t="n"/>
      <c r="G94" s="62" t="n"/>
      <c r="H94" s="60" t="n"/>
      <c r="I94" s="60" t="n"/>
      <c r="J94" s="61" t="n"/>
      <c r="K94" s="61" t="n"/>
      <c r="L94" s="61" t="n"/>
      <c r="M94" s="60" t="n"/>
      <c r="N94" s="60" t="n"/>
      <c r="O94" s="60" t="n"/>
      <c r="P94" s="61" t="n"/>
      <c r="Q94" s="60" t="n"/>
      <c r="R94" s="60" t="n"/>
      <c r="S94" s="60" t="n"/>
      <c r="T94" s="61" t="n"/>
      <c r="U94" s="61" t="n"/>
      <c r="V94" s="60" t="n"/>
      <c r="W94" s="60" t="n"/>
      <c r="X94" s="60" t="n"/>
      <c r="Y94" s="60" t="n"/>
      <c r="Z94" s="61" t="n"/>
      <c r="AA94" s="60" t="n"/>
      <c r="AB94" s="60" t="n"/>
      <c r="AC94" s="60" t="n"/>
      <c r="AD94" s="60" t="n"/>
      <c r="AE94" s="63">
        <f>IF($G94="","",TODAY()-$G94)</f>
        <v/>
      </c>
      <c r="AF94" s="63">
        <f>IF($A94="","",IF($M94&gt;0,"Yes","No"))</f>
        <v/>
      </c>
      <c r="AG94" s="63">
        <f>IF($A94="","",IF(AND($E94="Yes",OR($AA94="No",$AA94="NOT FOUND")),"YES",""))</f>
        <v/>
      </c>
      <c r="AH94" s="66">
        <f>IF($A94="","",TRIM(IF(AND($Y94=0,$I94&lt;&gt;"Yes"),"T0-NoPhishResistant ","")&amp;IF($H94="No","NoMFA ","")&amp;IF(AND($Y94=0,$M94&gt;0),"T0-Standing ","")&amp;IF(AND($Y94=0,$S94="Group only"),"T0-ViaGroupOnly ","")&amp;IF($R94="Yes","BroadAzureScope ","")&amp;IF(AND($E94="Yes",$G94=""),"NeverSignedIn ","")))</f>
        <v/>
      </c>
      <c r="AI94" s="60" t="n"/>
      <c r="AJ94" s="61" t="n"/>
      <c r="AK94" s="60" t="n"/>
      <c r="AL94" s="62" t="n"/>
      <c r="AM94" s="62" t="n"/>
      <c r="AN94" s="62" t="n"/>
      <c r="AO94" s="60" t="n"/>
      <c r="AP94" s="61" t="n"/>
      <c r="AQ94" s="63">
        <f>IF($A94="","",IF(AM94="","Not Enrolled",IF(TODAY()&gt;AM94,"Review Overdue",IF(AM94-TODAY()&lt;=30,"Review Due Soon","Active"))))</f>
        <v/>
      </c>
      <c r="AR94" s="63">
        <f>IF($A94="","",IF(AN94="","NOT REVIEWED",IF(TODAY()-AN94&gt;90,"OVERDUE",IF(TODAY()-AN94&gt;76,"Due Soon","Current"))))</f>
        <v/>
      </c>
    </row>
    <row r="95" ht="15" customHeight="1" s="39">
      <c r="A95" s="61" t="n"/>
      <c r="B95" s="60" t="n"/>
      <c r="C95" s="61" t="n"/>
      <c r="D95" s="60" t="n"/>
      <c r="E95" s="60" t="n"/>
      <c r="F95" s="62" t="n"/>
      <c r="G95" s="62" t="n"/>
      <c r="H95" s="60" t="n"/>
      <c r="I95" s="60" t="n"/>
      <c r="J95" s="61" t="n"/>
      <c r="K95" s="61" t="n"/>
      <c r="L95" s="61" t="n"/>
      <c r="M95" s="60" t="n"/>
      <c r="N95" s="60" t="n"/>
      <c r="O95" s="60" t="n"/>
      <c r="P95" s="61" t="n"/>
      <c r="Q95" s="60" t="n"/>
      <c r="R95" s="60" t="n"/>
      <c r="S95" s="60" t="n"/>
      <c r="T95" s="61" t="n"/>
      <c r="U95" s="61" t="n"/>
      <c r="V95" s="60" t="n"/>
      <c r="W95" s="60" t="n"/>
      <c r="X95" s="60" t="n"/>
      <c r="Y95" s="60" t="n"/>
      <c r="Z95" s="61" t="n"/>
      <c r="AA95" s="60" t="n"/>
      <c r="AB95" s="60" t="n"/>
      <c r="AC95" s="60" t="n"/>
      <c r="AD95" s="60" t="n"/>
      <c r="AE95" s="63">
        <f>IF($G95="","",TODAY()-$G95)</f>
        <v/>
      </c>
      <c r="AF95" s="63">
        <f>IF($A95="","",IF($M95&gt;0,"Yes","No"))</f>
        <v/>
      </c>
      <c r="AG95" s="63">
        <f>IF($A95="","",IF(AND($E95="Yes",OR($AA95="No",$AA95="NOT FOUND")),"YES",""))</f>
        <v/>
      </c>
      <c r="AH95" s="66">
        <f>IF($A95="","",TRIM(IF(AND($Y95=0,$I95&lt;&gt;"Yes"),"T0-NoPhishResistant ","")&amp;IF($H95="No","NoMFA ","")&amp;IF(AND($Y95=0,$M95&gt;0),"T0-Standing ","")&amp;IF(AND($Y95=0,$S95="Group only"),"T0-ViaGroupOnly ","")&amp;IF($R95="Yes","BroadAzureScope ","")&amp;IF(AND($E95="Yes",$G95=""),"NeverSignedIn ","")))</f>
        <v/>
      </c>
      <c r="AI95" s="60" t="n"/>
      <c r="AJ95" s="61" t="n"/>
      <c r="AK95" s="60" t="n"/>
      <c r="AL95" s="62" t="n"/>
      <c r="AM95" s="62" t="n"/>
      <c r="AN95" s="62" t="n"/>
      <c r="AO95" s="60" t="n"/>
      <c r="AP95" s="61" t="n"/>
      <c r="AQ95" s="63">
        <f>IF($A95="","",IF(AM95="","Not Enrolled",IF(TODAY()&gt;AM95,"Review Overdue",IF(AM95-TODAY()&lt;=30,"Review Due Soon","Active"))))</f>
        <v/>
      </c>
      <c r="AR95" s="63">
        <f>IF($A95="","",IF(AN95="","NOT REVIEWED",IF(TODAY()-AN95&gt;90,"OVERDUE",IF(TODAY()-AN95&gt;76,"Due Soon","Current"))))</f>
        <v/>
      </c>
    </row>
    <row r="96" ht="15" customHeight="1" s="39">
      <c r="A96" s="61" t="n"/>
      <c r="B96" s="60" t="n"/>
      <c r="C96" s="61" t="n"/>
      <c r="D96" s="60" t="n"/>
      <c r="E96" s="60" t="n"/>
      <c r="F96" s="62" t="n"/>
      <c r="G96" s="62" t="n"/>
      <c r="H96" s="60" t="n"/>
      <c r="I96" s="60" t="n"/>
      <c r="J96" s="61" t="n"/>
      <c r="K96" s="61" t="n"/>
      <c r="L96" s="61" t="n"/>
      <c r="M96" s="60" t="n"/>
      <c r="N96" s="60" t="n"/>
      <c r="O96" s="60" t="n"/>
      <c r="P96" s="61" t="n"/>
      <c r="Q96" s="60" t="n"/>
      <c r="R96" s="60" t="n"/>
      <c r="S96" s="60" t="n"/>
      <c r="T96" s="61" t="n"/>
      <c r="U96" s="61" t="n"/>
      <c r="V96" s="60" t="n"/>
      <c r="W96" s="60" t="n"/>
      <c r="X96" s="60" t="n"/>
      <c r="Y96" s="60" t="n"/>
      <c r="Z96" s="61" t="n"/>
      <c r="AA96" s="60" t="n"/>
      <c r="AB96" s="60" t="n"/>
      <c r="AC96" s="60" t="n"/>
      <c r="AD96" s="60" t="n"/>
      <c r="AE96" s="63">
        <f>IF($G96="","",TODAY()-$G96)</f>
        <v/>
      </c>
      <c r="AF96" s="63">
        <f>IF($A96="","",IF($M96&gt;0,"Yes","No"))</f>
        <v/>
      </c>
      <c r="AG96" s="63">
        <f>IF($A96="","",IF(AND($E96="Yes",OR($AA96="No",$AA96="NOT FOUND")),"YES",""))</f>
        <v/>
      </c>
      <c r="AH96" s="66">
        <f>IF($A96="","",TRIM(IF(AND($Y96=0,$I96&lt;&gt;"Yes"),"T0-NoPhishResistant ","")&amp;IF($H96="No","NoMFA ","")&amp;IF(AND($Y96=0,$M96&gt;0),"T0-Standing ","")&amp;IF(AND($Y96=0,$S96="Group only"),"T0-ViaGroupOnly ","")&amp;IF($R96="Yes","BroadAzureScope ","")&amp;IF(AND($E96="Yes",$G96=""),"NeverSignedIn ","")))</f>
        <v/>
      </c>
      <c r="AI96" s="60" t="n"/>
      <c r="AJ96" s="61" t="n"/>
      <c r="AK96" s="60" t="n"/>
      <c r="AL96" s="62" t="n"/>
      <c r="AM96" s="62" t="n"/>
      <c r="AN96" s="62" t="n"/>
      <c r="AO96" s="60" t="n"/>
      <c r="AP96" s="61" t="n"/>
      <c r="AQ96" s="63">
        <f>IF($A96="","",IF(AM96="","Not Enrolled",IF(TODAY()&gt;AM96,"Review Overdue",IF(AM96-TODAY()&lt;=30,"Review Due Soon","Active"))))</f>
        <v/>
      </c>
      <c r="AR96" s="63">
        <f>IF($A96="","",IF(AN96="","NOT REVIEWED",IF(TODAY()-AN96&gt;90,"OVERDUE",IF(TODAY()-AN96&gt;76,"Due Soon","Current"))))</f>
        <v/>
      </c>
    </row>
    <row r="97" ht="15" customHeight="1" s="39">
      <c r="A97" s="61" t="n"/>
      <c r="B97" s="60" t="n"/>
      <c r="C97" s="61" t="n"/>
      <c r="D97" s="60" t="n"/>
      <c r="E97" s="60" t="n"/>
      <c r="F97" s="62" t="n"/>
      <c r="G97" s="62" t="n"/>
      <c r="H97" s="60" t="n"/>
      <c r="I97" s="60" t="n"/>
      <c r="J97" s="61" t="n"/>
      <c r="K97" s="61" t="n"/>
      <c r="L97" s="61" t="n"/>
      <c r="M97" s="60" t="n"/>
      <c r="N97" s="60" t="n"/>
      <c r="O97" s="60" t="n"/>
      <c r="P97" s="61" t="n"/>
      <c r="Q97" s="60" t="n"/>
      <c r="R97" s="60" t="n"/>
      <c r="S97" s="60" t="n"/>
      <c r="T97" s="61" t="n"/>
      <c r="U97" s="61" t="n"/>
      <c r="V97" s="60" t="n"/>
      <c r="W97" s="60" t="n"/>
      <c r="X97" s="60" t="n"/>
      <c r="Y97" s="60" t="n"/>
      <c r="Z97" s="61" t="n"/>
      <c r="AA97" s="60" t="n"/>
      <c r="AB97" s="60" t="n"/>
      <c r="AC97" s="60" t="n"/>
      <c r="AD97" s="60" t="n"/>
      <c r="AE97" s="63">
        <f>IF($G97="","",TODAY()-$G97)</f>
        <v/>
      </c>
      <c r="AF97" s="63">
        <f>IF($A97="","",IF($M97&gt;0,"Yes","No"))</f>
        <v/>
      </c>
      <c r="AG97" s="63">
        <f>IF($A97="","",IF(AND($E97="Yes",OR($AA97="No",$AA97="NOT FOUND")),"YES",""))</f>
        <v/>
      </c>
      <c r="AH97" s="66">
        <f>IF($A97="","",TRIM(IF(AND($Y97=0,$I97&lt;&gt;"Yes"),"T0-NoPhishResistant ","")&amp;IF($H97="No","NoMFA ","")&amp;IF(AND($Y97=0,$M97&gt;0),"T0-Standing ","")&amp;IF(AND($Y97=0,$S97="Group only"),"T0-ViaGroupOnly ","")&amp;IF($R97="Yes","BroadAzureScope ","")&amp;IF(AND($E97="Yes",$G97=""),"NeverSignedIn ","")))</f>
        <v/>
      </c>
      <c r="AI97" s="60" t="n"/>
      <c r="AJ97" s="61" t="n"/>
      <c r="AK97" s="60" t="n"/>
      <c r="AL97" s="62" t="n"/>
      <c r="AM97" s="62" t="n"/>
      <c r="AN97" s="62" t="n"/>
      <c r="AO97" s="60" t="n"/>
      <c r="AP97" s="61" t="n"/>
      <c r="AQ97" s="63">
        <f>IF($A97="","",IF(AM97="","Not Enrolled",IF(TODAY()&gt;AM97,"Review Overdue",IF(AM97-TODAY()&lt;=30,"Review Due Soon","Active"))))</f>
        <v/>
      </c>
      <c r="AR97" s="63">
        <f>IF($A97="","",IF(AN97="","NOT REVIEWED",IF(TODAY()-AN97&gt;90,"OVERDUE",IF(TODAY()-AN97&gt;76,"Due Soon","Current"))))</f>
        <v/>
      </c>
    </row>
    <row r="98" ht="15" customHeight="1" s="39">
      <c r="A98" s="61" t="n"/>
      <c r="B98" s="60" t="n"/>
      <c r="C98" s="61" t="n"/>
      <c r="D98" s="60" t="n"/>
      <c r="E98" s="60" t="n"/>
      <c r="F98" s="62" t="n"/>
      <c r="G98" s="62" t="n"/>
      <c r="H98" s="60" t="n"/>
      <c r="I98" s="60" t="n"/>
      <c r="J98" s="61" t="n"/>
      <c r="K98" s="61" t="n"/>
      <c r="L98" s="61" t="n"/>
      <c r="M98" s="60" t="n"/>
      <c r="N98" s="60" t="n"/>
      <c r="O98" s="60" t="n"/>
      <c r="P98" s="61" t="n"/>
      <c r="Q98" s="60" t="n"/>
      <c r="R98" s="60" t="n"/>
      <c r="S98" s="60" t="n"/>
      <c r="T98" s="61" t="n"/>
      <c r="U98" s="61" t="n"/>
      <c r="V98" s="60" t="n"/>
      <c r="W98" s="60" t="n"/>
      <c r="X98" s="60" t="n"/>
      <c r="Y98" s="60" t="n"/>
      <c r="Z98" s="61" t="n"/>
      <c r="AA98" s="60" t="n"/>
      <c r="AB98" s="60" t="n"/>
      <c r="AC98" s="60" t="n"/>
      <c r="AD98" s="60" t="n"/>
      <c r="AE98" s="63">
        <f>IF($G98="","",TODAY()-$G98)</f>
        <v/>
      </c>
      <c r="AF98" s="63">
        <f>IF($A98="","",IF($M98&gt;0,"Yes","No"))</f>
        <v/>
      </c>
      <c r="AG98" s="63">
        <f>IF($A98="","",IF(AND($E98="Yes",OR($AA98="No",$AA98="NOT FOUND")),"YES",""))</f>
        <v/>
      </c>
      <c r="AH98" s="66">
        <f>IF($A98="","",TRIM(IF(AND($Y98=0,$I98&lt;&gt;"Yes"),"T0-NoPhishResistant ","")&amp;IF($H98="No","NoMFA ","")&amp;IF(AND($Y98=0,$M98&gt;0),"T0-Standing ","")&amp;IF(AND($Y98=0,$S98="Group only"),"T0-ViaGroupOnly ","")&amp;IF($R98="Yes","BroadAzureScope ","")&amp;IF(AND($E98="Yes",$G98=""),"NeverSignedIn ","")))</f>
        <v/>
      </c>
      <c r="AI98" s="60" t="n"/>
      <c r="AJ98" s="61" t="n"/>
      <c r="AK98" s="60" t="n"/>
      <c r="AL98" s="62" t="n"/>
      <c r="AM98" s="62" t="n"/>
      <c r="AN98" s="62" t="n"/>
      <c r="AO98" s="60" t="n"/>
      <c r="AP98" s="61" t="n"/>
      <c r="AQ98" s="63">
        <f>IF($A98="","",IF(AM98="","Not Enrolled",IF(TODAY()&gt;AM98,"Review Overdue",IF(AM98-TODAY()&lt;=30,"Review Due Soon","Active"))))</f>
        <v/>
      </c>
      <c r="AR98" s="63">
        <f>IF($A98="","",IF(AN98="","NOT REVIEWED",IF(TODAY()-AN98&gt;90,"OVERDUE",IF(TODAY()-AN98&gt;76,"Due Soon","Current"))))</f>
        <v/>
      </c>
    </row>
    <row r="99" ht="15" customHeight="1" s="39">
      <c r="A99" s="61" t="n"/>
      <c r="B99" s="60" t="n"/>
      <c r="C99" s="61" t="n"/>
      <c r="D99" s="60" t="n"/>
      <c r="E99" s="60" t="n"/>
      <c r="F99" s="62" t="n"/>
      <c r="G99" s="62" t="n"/>
      <c r="H99" s="60" t="n"/>
      <c r="I99" s="60" t="n"/>
      <c r="J99" s="61" t="n"/>
      <c r="K99" s="61" t="n"/>
      <c r="L99" s="61" t="n"/>
      <c r="M99" s="60" t="n"/>
      <c r="N99" s="60" t="n"/>
      <c r="O99" s="60" t="n"/>
      <c r="P99" s="61" t="n"/>
      <c r="Q99" s="60" t="n"/>
      <c r="R99" s="60" t="n"/>
      <c r="S99" s="60" t="n"/>
      <c r="T99" s="61" t="n"/>
      <c r="U99" s="61" t="n"/>
      <c r="V99" s="60" t="n"/>
      <c r="W99" s="60" t="n"/>
      <c r="X99" s="60" t="n"/>
      <c r="Y99" s="60" t="n"/>
      <c r="Z99" s="61" t="n"/>
      <c r="AA99" s="60" t="n"/>
      <c r="AB99" s="60" t="n"/>
      <c r="AC99" s="60" t="n"/>
      <c r="AD99" s="60" t="n"/>
      <c r="AE99" s="63">
        <f>IF($G99="","",TODAY()-$G99)</f>
        <v/>
      </c>
      <c r="AF99" s="63">
        <f>IF($A99="","",IF($M99&gt;0,"Yes","No"))</f>
        <v/>
      </c>
      <c r="AG99" s="63">
        <f>IF($A99="","",IF(AND($E99="Yes",OR($AA99="No",$AA99="NOT FOUND")),"YES",""))</f>
        <v/>
      </c>
      <c r="AH99" s="66">
        <f>IF($A99="","",TRIM(IF(AND($Y99=0,$I99&lt;&gt;"Yes"),"T0-NoPhishResistant ","")&amp;IF($H99="No","NoMFA ","")&amp;IF(AND($Y99=0,$M99&gt;0),"T0-Standing ","")&amp;IF(AND($Y99=0,$S99="Group only"),"T0-ViaGroupOnly ","")&amp;IF($R99="Yes","BroadAzureScope ","")&amp;IF(AND($E99="Yes",$G99=""),"NeverSignedIn ","")))</f>
        <v/>
      </c>
      <c r="AI99" s="60" t="n"/>
      <c r="AJ99" s="61" t="n"/>
      <c r="AK99" s="60" t="n"/>
      <c r="AL99" s="62" t="n"/>
      <c r="AM99" s="62" t="n"/>
      <c r="AN99" s="62" t="n"/>
      <c r="AO99" s="60" t="n"/>
      <c r="AP99" s="61" t="n"/>
      <c r="AQ99" s="63">
        <f>IF($A99="","",IF(AM99="","Not Enrolled",IF(TODAY()&gt;AM99,"Review Overdue",IF(AM99-TODAY()&lt;=30,"Review Due Soon","Active"))))</f>
        <v/>
      </c>
      <c r="AR99" s="63">
        <f>IF($A99="","",IF(AN99="","NOT REVIEWED",IF(TODAY()-AN99&gt;90,"OVERDUE",IF(TODAY()-AN99&gt;76,"Due Soon","Current"))))</f>
        <v/>
      </c>
    </row>
    <row r="100" ht="15" customHeight="1" s="39">
      <c r="A100" s="61" t="n"/>
      <c r="B100" s="60" t="n"/>
      <c r="C100" s="61" t="n"/>
      <c r="D100" s="60" t="n"/>
      <c r="E100" s="60" t="n"/>
      <c r="F100" s="62" t="n"/>
      <c r="G100" s="62" t="n"/>
      <c r="H100" s="60" t="n"/>
      <c r="I100" s="60" t="n"/>
      <c r="J100" s="61" t="n"/>
      <c r="K100" s="61" t="n"/>
      <c r="L100" s="61" t="n"/>
      <c r="M100" s="60" t="n"/>
      <c r="N100" s="60" t="n"/>
      <c r="O100" s="60" t="n"/>
      <c r="P100" s="61" t="n"/>
      <c r="Q100" s="60" t="n"/>
      <c r="R100" s="60" t="n"/>
      <c r="S100" s="60" t="n"/>
      <c r="T100" s="61" t="n"/>
      <c r="U100" s="61" t="n"/>
      <c r="V100" s="60" t="n"/>
      <c r="W100" s="60" t="n"/>
      <c r="X100" s="60" t="n"/>
      <c r="Y100" s="60" t="n"/>
      <c r="Z100" s="61" t="n"/>
      <c r="AA100" s="60" t="n"/>
      <c r="AB100" s="60" t="n"/>
      <c r="AC100" s="60" t="n"/>
      <c r="AD100" s="60" t="n"/>
      <c r="AE100" s="63">
        <f>IF($G100="","",TODAY()-$G100)</f>
        <v/>
      </c>
      <c r="AF100" s="63">
        <f>IF($A100="","",IF($M100&gt;0,"Yes","No"))</f>
        <v/>
      </c>
      <c r="AG100" s="63">
        <f>IF($A100="","",IF(AND($E100="Yes",OR($AA100="No",$AA100="NOT FOUND")),"YES",""))</f>
        <v/>
      </c>
      <c r="AH100" s="66">
        <f>IF($A100="","",TRIM(IF(AND($Y100=0,$I100&lt;&gt;"Yes"),"T0-NoPhishResistant ","")&amp;IF($H100="No","NoMFA ","")&amp;IF(AND($Y100=0,$M100&gt;0),"T0-Standing ","")&amp;IF(AND($Y100=0,$S100="Group only"),"T0-ViaGroupOnly ","")&amp;IF($R100="Yes","BroadAzureScope ","")&amp;IF(AND($E100="Yes",$G100=""),"NeverSignedIn ","")))</f>
        <v/>
      </c>
      <c r="AI100" s="60" t="n"/>
      <c r="AJ100" s="61" t="n"/>
      <c r="AK100" s="60" t="n"/>
      <c r="AL100" s="62" t="n"/>
      <c r="AM100" s="62" t="n"/>
      <c r="AN100" s="62" t="n"/>
      <c r="AO100" s="60" t="n"/>
      <c r="AP100" s="61" t="n"/>
      <c r="AQ100" s="63">
        <f>IF($A100="","",IF(AM100="","Not Enrolled",IF(TODAY()&gt;AM100,"Review Overdue",IF(AM100-TODAY()&lt;=30,"Review Due Soon","Active"))))</f>
        <v/>
      </c>
      <c r="AR100" s="63">
        <f>IF($A100="","",IF(AN100="","NOT REVIEWED",IF(TODAY()-AN100&gt;90,"OVERDUE",IF(TODAY()-AN100&gt;76,"Due Soon","Current"))))</f>
        <v/>
      </c>
    </row>
    <row r="101" ht="15" customHeight="1" s="39">
      <c r="A101" s="61" t="n"/>
      <c r="B101" s="60" t="n"/>
      <c r="C101" s="61" t="n"/>
      <c r="D101" s="60" t="n"/>
      <c r="E101" s="60" t="n"/>
      <c r="F101" s="62" t="n"/>
      <c r="G101" s="62" t="n"/>
      <c r="H101" s="60" t="n"/>
      <c r="I101" s="60" t="n"/>
      <c r="J101" s="61" t="n"/>
      <c r="K101" s="61" t="n"/>
      <c r="L101" s="61" t="n"/>
      <c r="M101" s="60" t="n"/>
      <c r="N101" s="60" t="n"/>
      <c r="O101" s="60" t="n"/>
      <c r="P101" s="61" t="n"/>
      <c r="Q101" s="60" t="n"/>
      <c r="R101" s="60" t="n"/>
      <c r="S101" s="60" t="n"/>
      <c r="T101" s="61" t="n"/>
      <c r="U101" s="61" t="n"/>
      <c r="V101" s="60" t="n"/>
      <c r="W101" s="60" t="n"/>
      <c r="X101" s="60" t="n"/>
      <c r="Y101" s="60" t="n"/>
      <c r="Z101" s="61" t="n"/>
      <c r="AA101" s="60" t="n"/>
      <c r="AB101" s="60" t="n"/>
      <c r="AC101" s="60" t="n"/>
      <c r="AD101" s="60" t="n"/>
      <c r="AE101" s="63">
        <f>IF($G101="","",TODAY()-$G101)</f>
        <v/>
      </c>
      <c r="AF101" s="63">
        <f>IF($A101="","",IF($M101&gt;0,"Yes","No"))</f>
        <v/>
      </c>
      <c r="AG101" s="63">
        <f>IF($A101="","",IF(AND($E101="Yes",OR($AA101="No",$AA101="NOT FOUND")),"YES",""))</f>
        <v/>
      </c>
      <c r="AH101" s="66">
        <f>IF($A101="","",TRIM(IF(AND($Y101=0,$I101&lt;&gt;"Yes"),"T0-NoPhishResistant ","")&amp;IF($H101="No","NoMFA ","")&amp;IF(AND($Y101=0,$M101&gt;0),"T0-Standing ","")&amp;IF(AND($Y101=0,$S101="Group only"),"T0-ViaGroupOnly ","")&amp;IF($R101="Yes","BroadAzureScope ","")&amp;IF(AND($E101="Yes",$G101=""),"NeverSignedIn ","")))</f>
        <v/>
      </c>
      <c r="AI101" s="60" t="n"/>
      <c r="AJ101" s="61" t="n"/>
      <c r="AK101" s="60" t="n"/>
      <c r="AL101" s="62" t="n"/>
      <c r="AM101" s="62" t="n"/>
      <c r="AN101" s="62" t="n"/>
      <c r="AO101" s="60" t="n"/>
      <c r="AP101" s="61" t="n"/>
      <c r="AQ101" s="63">
        <f>IF($A101="","",IF(AM101="","Not Enrolled",IF(TODAY()&gt;AM101,"Review Overdue",IF(AM101-TODAY()&lt;=30,"Review Due Soon","Active"))))</f>
        <v/>
      </c>
      <c r="AR101" s="63">
        <f>IF($A101="","",IF(AN101="","NOT REVIEWED",IF(TODAY()-AN101&gt;90,"OVERDUE",IF(TODAY()-AN101&gt;76,"Due Soon","Current"))))</f>
        <v/>
      </c>
    </row>
    <row r="102" ht="15" customHeight="1" s="39">
      <c r="A102" s="61" t="n"/>
      <c r="B102" s="60" t="n"/>
      <c r="C102" s="61" t="n"/>
      <c r="D102" s="60" t="n"/>
      <c r="E102" s="60" t="n"/>
      <c r="F102" s="62" t="n"/>
      <c r="G102" s="62" t="n"/>
      <c r="H102" s="60" t="n"/>
      <c r="I102" s="60" t="n"/>
      <c r="J102" s="61" t="n"/>
      <c r="K102" s="61" t="n"/>
      <c r="L102" s="61" t="n"/>
      <c r="M102" s="60" t="n"/>
      <c r="N102" s="60" t="n"/>
      <c r="O102" s="60" t="n"/>
      <c r="P102" s="61" t="n"/>
      <c r="Q102" s="60" t="n"/>
      <c r="R102" s="60" t="n"/>
      <c r="S102" s="60" t="n"/>
      <c r="T102" s="61" t="n"/>
      <c r="U102" s="61" t="n"/>
      <c r="V102" s="60" t="n"/>
      <c r="W102" s="60" t="n"/>
      <c r="X102" s="60" t="n"/>
      <c r="Y102" s="60" t="n"/>
      <c r="Z102" s="61" t="n"/>
      <c r="AA102" s="60" t="n"/>
      <c r="AB102" s="60" t="n"/>
      <c r="AC102" s="60" t="n"/>
      <c r="AD102" s="60" t="n"/>
      <c r="AE102" s="63">
        <f>IF($G102="","",TODAY()-$G102)</f>
        <v/>
      </c>
      <c r="AF102" s="63">
        <f>IF($A102="","",IF($M102&gt;0,"Yes","No"))</f>
        <v/>
      </c>
      <c r="AG102" s="63">
        <f>IF($A102="","",IF(AND($E102="Yes",OR($AA102="No",$AA102="NOT FOUND")),"YES",""))</f>
        <v/>
      </c>
      <c r="AH102" s="66">
        <f>IF($A102="","",TRIM(IF(AND($Y102=0,$I102&lt;&gt;"Yes"),"T0-NoPhishResistant ","")&amp;IF($H102="No","NoMFA ","")&amp;IF(AND($Y102=0,$M102&gt;0),"T0-Standing ","")&amp;IF(AND($Y102=0,$S102="Group only"),"T0-ViaGroupOnly ","")&amp;IF($R102="Yes","BroadAzureScope ","")&amp;IF(AND($E102="Yes",$G102=""),"NeverSignedIn ","")))</f>
        <v/>
      </c>
      <c r="AI102" s="60" t="n"/>
      <c r="AJ102" s="61" t="n"/>
      <c r="AK102" s="60" t="n"/>
      <c r="AL102" s="62" t="n"/>
      <c r="AM102" s="62" t="n"/>
      <c r="AN102" s="62" t="n"/>
      <c r="AO102" s="60" t="n"/>
      <c r="AP102" s="61" t="n"/>
      <c r="AQ102" s="63">
        <f>IF($A102="","",IF(AM102="","Not Enrolled",IF(TODAY()&gt;AM102,"Review Overdue",IF(AM102-TODAY()&lt;=30,"Review Due Soon","Active"))))</f>
        <v/>
      </c>
      <c r="AR102" s="63">
        <f>IF($A102="","",IF(AN102="","NOT REVIEWED",IF(TODAY()-AN102&gt;90,"OVERDUE",IF(TODAY()-AN102&gt;76,"Due Soon","Current"))))</f>
        <v/>
      </c>
    </row>
    <row r="103" ht="15" customHeight="1" s="39">
      <c r="A103" s="61" t="n"/>
      <c r="B103" s="60" t="n"/>
      <c r="C103" s="61" t="n"/>
      <c r="D103" s="60" t="n"/>
      <c r="E103" s="60" t="n"/>
      <c r="F103" s="62" t="n"/>
      <c r="G103" s="62" t="n"/>
      <c r="H103" s="60" t="n"/>
      <c r="I103" s="60" t="n"/>
      <c r="J103" s="61" t="n"/>
      <c r="K103" s="61" t="n"/>
      <c r="L103" s="61" t="n"/>
      <c r="M103" s="60" t="n"/>
      <c r="N103" s="60" t="n"/>
      <c r="O103" s="60" t="n"/>
      <c r="P103" s="61" t="n"/>
      <c r="Q103" s="60" t="n"/>
      <c r="R103" s="60" t="n"/>
      <c r="S103" s="60" t="n"/>
      <c r="T103" s="61" t="n"/>
      <c r="U103" s="61" t="n"/>
      <c r="V103" s="60" t="n"/>
      <c r="W103" s="60" t="n"/>
      <c r="X103" s="60" t="n"/>
      <c r="Y103" s="60" t="n"/>
      <c r="Z103" s="61" t="n"/>
      <c r="AA103" s="60" t="n"/>
      <c r="AB103" s="60" t="n"/>
      <c r="AC103" s="60" t="n"/>
      <c r="AD103" s="60" t="n"/>
      <c r="AE103" s="63">
        <f>IF($G103="","",TODAY()-$G103)</f>
        <v/>
      </c>
      <c r="AF103" s="63">
        <f>IF($A103="","",IF($M103&gt;0,"Yes","No"))</f>
        <v/>
      </c>
      <c r="AG103" s="63">
        <f>IF($A103="","",IF(AND($E103="Yes",OR($AA103="No",$AA103="NOT FOUND")),"YES",""))</f>
        <v/>
      </c>
      <c r="AH103" s="66">
        <f>IF($A103="","",TRIM(IF(AND($Y103=0,$I103&lt;&gt;"Yes"),"T0-NoPhishResistant ","")&amp;IF($H103="No","NoMFA ","")&amp;IF(AND($Y103=0,$M103&gt;0),"T0-Standing ","")&amp;IF(AND($Y103=0,$S103="Group only"),"T0-ViaGroupOnly ","")&amp;IF($R103="Yes","BroadAzureScope ","")&amp;IF(AND($E103="Yes",$G103=""),"NeverSignedIn ","")))</f>
        <v/>
      </c>
      <c r="AI103" s="60" t="n"/>
      <c r="AJ103" s="61" t="n"/>
      <c r="AK103" s="60" t="n"/>
      <c r="AL103" s="62" t="n"/>
      <c r="AM103" s="62" t="n"/>
      <c r="AN103" s="62" t="n"/>
      <c r="AO103" s="60" t="n"/>
      <c r="AP103" s="61" t="n"/>
      <c r="AQ103" s="63">
        <f>IF($A103="","",IF(AM103="","Not Enrolled",IF(TODAY()&gt;AM103,"Review Overdue",IF(AM103-TODAY()&lt;=30,"Review Due Soon","Active"))))</f>
        <v/>
      </c>
      <c r="AR103" s="63">
        <f>IF($A103="","",IF(AN103="","NOT REVIEWED",IF(TODAY()-AN103&gt;90,"OVERDUE",IF(TODAY()-AN103&gt;76,"Due Soon","Current"))))</f>
        <v/>
      </c>
    </row>
    <row r="104" ht="15" customHeight="1" s="39">
      <c r="A104" s="61" t="n"/>
      <c r="B104" s="60" t="n"/>
      <c r="C104" s="61" t="n"/>
      <c r="D104" s="60" t="n"/>
      <c r="E104" s="60" t="n"/>
      <c r="F104" s="62" t="n"/>
      <c r="G104" s="62" t="n"/>
      <c r="H104" s="60" t="n"/>
      <c r="I104" s="60" t="n"/>
      <c r="J104" s="61" t="n"/>
      <c r="K104" s="61" t="n"/>
      <c r="L104" s="61" t="n"/>
      <c r="M104" s="60" t="n"/>
      <c r="N104" s="60" t="n"/>
      <c r="O104" s="60" t="n"/>
      <c r="P104" s="61" t="n"/>
      <c r="Q104" s="60" t="n"/>
      <c r="R104" s="60" t="n"/>
      <c r="S104" s="60" t="n"/>
      <c r="T104" s="61" t="n"/>
      <c r="U104" s="61" t="n"/>
      <c r="V104" s="60" t="n"/>
      <c r="W104" s="60" t="n"/>
      <c r="X104" s="60" t="n"/>
      <c r="Y104" s="60" t="n"/>
      <c r="Z104" s="61" t="n"/>
      <c r="AA104" s="60" t="n"/>
      <c r="AB104" s="60" t="n"/>
      <c r="AC104" s="60" t="n"/>
      <c r="AD104" s="60" t="n"/>
      <c r="AE104" s="63">
        <f>IF($G104="","",TODAY()-$G104)</f>
        <v/>
      </c>
      <c r="AF104" s="63">
        <f>IF($A104="","",IF($M104&gt;0,"Yes","No"))</f>
        <v/>
      </c>
      <c r="AG104" s="63">
        <f>IF($A104="","",IF(AND($E104="Yes",OR($AA104="No",$AA104="NOT FOUND")),"YES",""))</f>
        <v/>
      </c>
      <c r="AH104" s="66">
        <f>IF($A104="","",TRIM(IF(AND($Y104=0,$I104&lt;&gt;"Yes"),"T0-NoPhishResistant ","")&amp;IF($H104="No","NoMFA ","")&amp;IF(AND($Y104=0,$M104&gt;0),"T0-Standing ","")&amp;IF(AND($Y104=0,$S104="Group only"),"T0-ViaGroupOnly ","")&amp;IF($R104="Yes","BroadAzureScope ","")&amp;IF(AND($E104="Yes",$G104=""),"NeverSignedIn ","")))</f>
        <v/>
      </c>
      <c r="AI104" s="60" t="n"/>
      <c r="AJ104" s="61" t="n"/>
      <c r="AK104" s="60" t="n"/>
      <c r="AL104" s="62" t="n"/>
      <c r="AM104" s="62" t="n"/>
      <c r="AN104" s="62" t="n"/>
      <c r="AO104" s="60" t="n"/>
      <c r="AP104" s="61" t="n"/>
      <c r="AQ104" s="63">
        <f>IF($A104="","",IF(AM104="","Not Enrolled",IF(TODAY()&gt;AM104,"Review Overdue",IF(AM104-TODAY()&lt;=30,"Review Due Soon","Active"))))</f>
        <v/>
      </c>
      <c r="AR104" s="63">
        <f>IF($A104="","",IF(AN104="","NOT REVIEWED",IF(TODAY()-AN104&gt;90,"OVERDUE",IF(TODAY()-AN104&gt;76,"Due Soon","Current"))))</f>
        <v/>
      </c>
    </row>
    <row r="105" ht="15" customHeight="1" s="39">
      <c r="A105" s="61" t="n"/>
      <c r="B105" s="60" t="n"/>
      <c r="C105" s="61" t="n"/>
      <c r="D105" s="60" t="n"/>
      <c r="E105" s="60" t="n"/>
      <c r="F105" s="62" t="n"/>
      <c r="G105" s="62" t="n"/>
      <c r="H105" s="60" t="n"/>
      <c r="I105" s="60" t="n"/>
      <c r="J105" s="61" t="n"/>
      <c r="K105" s="61" t="n"/>
      <c r="L105" s="61" t="n"/>
      <c r="M105" s="60" t="n"/>
      <c r="N105" s="60" t="n"/>
      <c r="O105" s="60" t="n"/>
      <c r="P105" s="61" t="n"/>
      <c r="Q105" s="60" t="n"/>
      <c r="R105" s="60" t="n"/>
      <c r="S105" s="60" t="n"/>
      <c r="T105" s="61" t="n"/>
      <c r="U105" s="61" t="n"/>
      <c r="V105" s="60" t="n"/>
      <c r="W105" s="60" t="n"/>
      <c r="X105" s="60" t="n"/>
      <c r="Y105" s="60" t="n"/>
      <c r="Z105" s="61" t="n"/>
      <c r="AA105" s="60" t="n"/>
      <c r="AB105" s="60" t="n"/>
      <c r="AC105" s="60" t="n"/>
      <c r="AD105" s="60" t="n"/>
      <c r="AE105" s="63">
        <f>IF($G105="","",TODAY()-$G105)</f>
        <v/>
      </c>
      <c r="AF105" s="63">
        <f>IF($A105="","",IF($M105&gt;0,"Yes","No"))</f>
        <v/>
      </c>
      <c r="AG105" s="63">
        <f>IF($A105="","",IF(AND($E105="Yes",OR($AA105="No",$AA105="NOT FOUND")),"YES",""))</f>
        <v/>
      </c>
      <c r="AH105" s="66">
        <f>IF($A105="","",TRIM(IF(AND($Y105=0,$I105&lt;&gt;"Yes"),"T0-NoPhishResistant ","")&amp;IF($H105="No","NoMFA ","")&amp;IF(AND($Y105=0,$M105&gt;0),"T0-Standing ","")&amp;IF(AND($Y105=0,$S105="Group only"),"T0-ViaGroupOnly ","")&amp;IF($R105="Yes","BroadAzureScope ","")&amp;IF(AND($E105="Yes",$G105=""),"NeverSignedIn ","")))</f>
        <v/>
      </c>
      <c r="AI105" s="60" t="n"/>
      <c r="AJ105" s="61" t="n"/>
      <c r="AK105" s="60" t="n"/>
      <c r="AL105" s="62" t="n"/>
      <c r="AM105" s="62" t="n"/>
      <c r="AN105" s="62" t="n"/>
      <c r="AO105" s="60" t="n"/>
      <c r="AP105" s="61" t="n"/>
      <c r="AQ105" s="63">
        <f>IF($A105="","",IF(AM105="","Not Enrolled",IF(TODAY()&gt;AM105,"Review Overdue",IF(AM105-TODAY()&lt;=30,"Review Due Soon","Active"))))</f>
        <v/>
      </c>
      <c r="AR105" s="63">
        <f>IF($A105="","",IF(AN105="","NOT REVIEWED",IF(TODAY()-AN105&gt;90,"OVERDUE",IF(TODAY()-AN105&gt;76,"Due Soon","Current"))))</f>
        <v/>
      </c>
    </row>
    <row r="106" ht="15" customHeight="1" s="39">
      <c r="A106" s="61" t="n"/>
      <c r="B106" s="60" t="n"/>
      <c r="C106" s="61" t="n"/>
      <c r="D106" s="60" t="n"/>
      <c r="E106" s="60" t="n"/>
      <c r="F106" s="62" t="n"/>
      <c r="G106" s="62" t="n"/>
      <c r="H106" s="60" t="n"/>
      <c r="I106" s="60" t="n"/>
      <c r="J106" s="61" t="n"/>
      <c r="K106" s="61" t="n"/>
      <c r="L106" s="61" t="n"/>
      <c r="M106" s="60" t="n"/>
      <c r="N106" s="60" t="n"/>
      <c r="O106" s="60" t="n"/>
      <c r="P106" s="61" t="n"/>
      <c r="Q106" s="60" t="n"/>
      <c r="R106" s="60" t="n"/>
      <c r="S106" s="60" t="n"/>
      <c r="T106" s="61" t="n"/>
      <c r="U106" s="61" t="n"/>
      <c r="V106" s="60" t="n"/>
      <c r="W106" s="60" t="n"/>
      <c r="X106" s="60" t="n"/>
      <c r="Y106" s="60" t="n"/>
      <c r="Z106" s="61" t="n"/>
      <c r="AA106" s="60" t="n"/>
      <c r="AB106" s="60" t="n"/>
      <c r="AC106" s="60" t="n"/>
      <c r="AD106" s="60" t="n"/>
      <c r="AE106" s="63">
        <f>IF($G106="","",TODAY()-$G106)</f>
        <v/>
      </c>
      <c r="AF106" s="63">
        <f>IF($A106="","",IF($M106&gt;0,"Yes","No"))</f>
        <v/>
      </c>
      <c r="AG106" s="63">
        <f>IF($A106="","",IF(AND($E106="Yes",OR($AA106="No",$AA106="NOT FOUND")),"YES",""))</f>
        <v/>
      </c>
      <c r="AH106" s="66">
        <f>IF($A106="","",TRIM(IF(AND($Y106=0,$I106&lt;&gt;"Yes"),"T0-NoPhishResistant ","")&amp;IF($H106="No","NoMFA ","")&amp;IF(AND($Y106=0,$M106&gt;0),"T0-Standing ","")&amp;IF(AND($Y106=0,$S106="Group only"),"T0-ViaGroupOnly ","")&amp;IF($R106="Yes","BroadAzureScope ","")&amp;IF(AND($E106="Yes",$G106=""),"NeverSignedIn ","")))</f>
        <v/>
      </c>
      <c r="AI106" s="60" t="n"/>
      <c r="AJ106" s="61" t="n"/>
      <c r="AK106" s="60" t="n"/>
      <c r="AL106" s="62" t="n"/>
      <c r="AM106" s="62" t="n"/>
      <c r="AN106" s="62" t="n"/>
      <c r="AO106" s="60" t="n"/>
      <c r="AP106" s="61" t="n"/>
      <c r="AQ106" s="63">
        <f>IF($A106="","",IF(AM106="","Not Enrolled",IF(TODAY()&gt;AM106,"Review Overdue",IF(AM106-TODAY()&lt;=30,"Review Due Soon","Active"))))</f>
        <v/>
      </c>
      <c r="AR106" s="63">
        <f>IF($A106="","",IF(AN106="","NOT REVIEWED",IF(TODAY()-AN106&gt;90,"OVERDUE",IF(TODAY()-AN106&gt;76,"Due Soon","Current"))))</f>
        <v/>
      </c>
    </row>
    <row r="107" ht="15" customHeight="1" s="39">
      <c r="A107" s="61" t="n"/>
      <c r="B107" s="60" t="n"/>
      <c r="C107" s="61" t="n"/>
      <c r="D107" s="60" t="n"/>
      <c r="E107" s="60" t="n"/>
      <c r="F107" s="62" t="n"/>
      <c r="G107" s="62" t="n"/>
      <c r="H107" s="60" t="n"/>
      <c r="I107" s="60" t="n"/>
      <c r="J107" s="61" t="n"/>
      <c r="K107" s="61" t="n"/>
      <c r="L107" s="61" t="n"/>
      <c r="M107" s="60" t="n"/>
      <c r="N107" s="60" t="n"/>
      <c r="O107" s="60" t="n"/>
      <c r="P107" s="61" t="n"/>
      <c r="Q107" s="60" t="n"/>
      <c r="R107" s="60" t="n"/>
      <c r="S107" s="60" t="n"/>
      <c r="T107" s="61" t="n"/>
      <c r="U107" s="61" t="n"/>
      <c r="V107" s="60" t="n"/>
      <c r="W107" s="60" t="n"/>
      <c r="X107" s="60" t="n"/>
      <c r="Y107" s="60" t="n"/>
      <c r="Z107" s="61" t="n"/>
      <c r="AA107" s="60" t="n"/>
      <c r="AB107" s="60" t="n"/>
      <c r="AC107" s="60" t="n"/>
      <c r="AD107" s="60" t="n"/>
      <c r="AE107" s="63">
        <f>IF($G107="","",TODAY()-$G107)</f>
        <v/>
      </c>
      <c r="AF107" s="63">
        <f>IF($A107="","",IF($M107&gt;0,"Yes","No"))</f>
        <v/>
      </c>
      <c r="AG107" s="63">
        <f>IF($A107="","",IF(AND($E107="Yes",OR($AA107="No",$AA107="NOT FOUND")),"YES",""))</f>
        <v/>
      </c>
      <c r="AH107" s="66">
        <f>IF($A107="","",TRIM(IF(AND($Y107=0,$I107&lt;&gt;"Yes"),"T0-NoPhishResistant ","")&amp;IF($H107="No","NoMFA ","")&amp;IF(AND($Y107=0,$M107&gt;0),"T0-Standing ","")&amp;IF(AND($Y107=0,$S107="Group only"),"T0-ViaGroupOnly ","")&amp;IF($R107="Yes","BroadAzureScope ","")&amp;IF(AND($E107="Yes",$G107=""),"NeverSignedIn ","")))</f>
        <v/>
      </c>
      <c r="AI107" s="60" t="n"/>
      <c r="AJ107" s="61" t="n"/>
      <c r="AK107" s="60" t="n"/>
      <c r="AL107" s="62" t="n"/>
      <c r="AM107" s="62" t="n"/>
      <c r="AN107" s="62" t="n"/>
      <c r="AO107" s="60" t="n"/>
      <c r="AP107" s="61" t="n"/>
      <c r="AQ107" s="63">
        <f>IF($A107="","",IF(AM107="","Not Enrolled",IF(TODAY()&gt;AM107,"Review Overdue",IF(AM107-TODAY()&lt;=30,"Review Due Soon","Active"))))</f>
        <v/>
      </c>
      <c r="AR107" s="63">
        <f>IF($A107="","",IF(AN107="","NOT REVIEWED",IF(TODAY()-AN107&gt;90,"OVERDUE",IF(TODAY()-AN107&gt;76,"Due Soon","Current"))))</f>
        <v/>
      </c>
    </row>
    <row r="108" ht="15" customHeight="1" s="39">
      <c r="A108" s="61" t="n"/>
      <c r="B108" s="60" t="n"/>
      <c r="C108" s="61" t="n"/>
      <c r="D108" s="60" t="n"/>
      <c r="E108" s="60" t="n"/>
      <c r="F108" s="62" t="n"/>
      <c r="G108" s="62" t="n"/>
      <c r="H108" s="60" t="n"/>
      <c r="I108" s="60" t="n"/>
      <c r="J108" s="61" t="n"/>
      <c r="K108" s="61" t="n"/>
      <c r="L108" s="61" t="n"/>
      <c r="M108" s="60" t="n"/>
      <c r="N108" s="60" t="n"/>
      <c r="O108" s="60" t="n"/>
      <c r="P108" s="61" t="n"/>
      <c r="Q108" s="60" t="n"/>
      <c r="R108" s="60" t="n"/>
      <c r="S108" s="60" t="n"/>
      <c r="T108" s="61" t="n"/>
      <c r="U108" s="61" t="n"/>
      <c r="V108" s="60" t="n"/>
      <c r="W108" s="60" t="n"/>
      <c r="X108" s="60" t="n"/>
      <c r="Y108" s="60" t="n"/>
      <c r="Z108" s="61" t="n"/>
      <c r="AA108" s="60" t="n"/>
      <c r="AB108" s="60" t="n"/>
      <c r="AC108" s="60" t="n"/>
      <c r="AD108" s="60" t="n"/>
      <c r="AE108" s="63">
        <f>IF($G108="","",TODAY()-$G108)</f>
        <v/>
      </c>
      <c r="AF108" s="63">
        <f>IF($A108="","",IF($M108&gt;0,"Yes","No"))</f>
        <v/>
      </c>
      <c r="AG108" s="63">
        <f>IF($A108="","",IF(AND($E108="Yes",OR($AA108="No",$AA108="NOT FOUND")),"YES",""))</f>
        <v/>
      </c>
      <c r="AH108" s="66">
        <f>IF($A108="","",TRIM(IF(AND($Y108=0,$I108&lt;&gt;"Yes"),"T0-NoPhishResistant ","")&amp;IF($H108="No","NoMFA ","")&amp;IF(AND($Y108=0,$M108&gt;0),"T0-Standing ","")&amp;IF(AND($Y108=0,$S108="Group only"),"T0-ViaGroupOnly ","")&amp;IF($R108="Yes","BroadAzureScope ","")&amp;IF(AND($E108="Yes",$G108=""),"NeverSignedIn ","")))</f>
        <v/>
      </c>
      <c r="AI108" s="60" t="n"/>
      <c r="AJ108" s="61" t="n"/>
      <c r="AK108" s="60" t="n"/>
      <c r="AL108" s="62" t="n"/>
      <c r="AM108" s="62" t="n"/>
      <c r="AN108" s="62" t="n"/>
      <c r="AO108" s="60" t="n"/>
      <c r="AP108" s="61" t="n"/>
      <c r="AQ108" s="63">
        <f>IF($A108="","",IF(AM108="","Not Enrolled",IF(TODAY()&gt;AM108,"Review Overdue",IF(AM108-TODAY()&lt;=30,"Review Due Soon","Active"))))</f>
        <v/>
      </c>
      <c r="AR108" s="63">
        <f>IF($A108="","",IF(AN108="","NOT REVIEWED",IF(TODAY()-AN108&gt;90,"OVERDUE",IF(TODAY()-AN108&gt;76,"Due Soon","Current"))))</f>
        <v/>
      </c>
    </row>
    <row r="109" ht="15" customHeight="1" s="39">
      <c r="A109" s="61" t="n"/>
      <c r="B109" s="60" t="n"/>
      <c r="C109" s="61" t="n"/>
      <c r="D109" s="60" t="n"/>
      <c r="E109" s="60" t="n"/>
      <c r="F109" s="62" t="n"/>
      <c r="G109" s="62" t="n"/>
      <c r="H109" s="60" t="n"/>
      <c r="I109" s="60" t="n"/>
      <c r="J109" s="61" t="n"/>
      <c r="K109" s="61" t="n"/>
      <c r="L109" s="61" t="n"/>
      <c r="M109" s="60" t="n"/>
      <c r="N109" s="60" t="n"/>
      <c r="O109" s="60" t="n"/>
      <c r="P109" s="61" t="n"/>
      <c r="Q109" s="60" t="n"/>
      <c r="R109" s="60" t="n"/>
      <c r="S109" s="60" t="n"/>
      <c r="T109" s="61" t="n"/>
      <c r="U109" s="61" t="n"/>
      <c r="V109" s="60" t="n"/>
      <c r="W109" s="60" t="n"/>
      <c r="X109" s="60" t="n"/>
      <c r="Y109" s="60" t="n"/>
      <c r="Z109" s="61" t="n"/>
      <c r="AA109" s="60" t="n"/>
      <c r="AB109" s="60" t="n"/>
      <c r="AC109" s="60" t="n"/>
      <c r="AD109" s="60" t="n"/>
      <c r="AE109" s="63">
        <f>IF($G109="","",TODAY()-$G109)</f>
        <v/>
      </c>
      <c r="AF109" s="63">
        <f>IF($A109="","",IF($M109&gt;0,"Yes","No"))</f>
        <v/>
      </c>
      <c r="AG109" s="63">
        <f>IF($A109="","",IF(AND($E109="Yes",OR($AA109="No",$AA109="NOT FOUND")),"YES",""))</f>
        <v/>
      </c>
      <c r="AH109" s="66">
        <f>IF($A109="","",TRIM(IF(AND($Y109=0,$I109&lt;&gt;"Yes"),"T0-NoPhishResistant ","")&amp;IF($H109="No","NoMFA ","")&amp;IF(AND($Y109=0,$M109&gt;0),"T0-Standing ","")&amp;IF(AND($Y109=0,$S109="Group only"),"T0-ViaGroupOnly ","")&amp;IF($R109="Yes","BroadAzureScope ","")&amp;IF(AND($E109="Yes",$G109=""),"NeverSignedIn ","")))</f>
        <v/>
      </c>
      <c r="AI109" s="60" t="n"/>
      <c r="AJ109" s="61" t="n"/>
      <c r="AK109" s="60" t="n"/>
      <c r="AL109" s="62" t="n"/>
      <c r="AM109" s="62" t="n"/>
      <c r="AN109" s="62" t="n"/>
      <c r="AO109" s="60" t="n"/>
      <c r="AP109" s="61" t="n"/>
      <c r="AQ109" s="63">
        <f>IF($A109="","",IF(AM109="","Not Enrolled",IF(TODAY()&gt;AM109,"Review Overdue",IF(AM109-TODAY()&lt;=30,"Review Due Soon","Active"))))</f>
        <v/>
      </c>
      <c r="AR109" s="63">
        <f>IF($A109="","",IF(AN109="","NOT REVIEWED",IF(TODAY()-AN109&gt;90,"OVERDUE",IF(TODAY()-AN109&gt;76,"Due Soon","Current"))))</f>
        <v/>
      </c>
    </row>
    <row r="110" ht="15" customHeight="1" s="39">
      <c r="A110" s="61" t="n"/>
      <c r="B110" s="60" t="n"/>
      <c r="C110" s="61" t="n"/>
      <c r="D110" s="60" t="n"/>
      <c r="E110" s="60" t="n"/>
      <c r="F110" s="62" t="n"/>
      <c r="G110" s="62" t="n"/>
      <c r="H110" s="60" t="n"/>
      <c r="I110" s="60" t="n"/>
      <c r="J110" s="61" t="n"/>
      <c r="K110" s="61" t="n"/>
      <c r="L110" s="61" t="n"/>
      <c r="M110" s="60" t="n"/>
      <c r="N110" s="60" t="n"/>
      <c r="O110" s="60" t="n"/>
      <c r="P110" s="61" t="n"/>
      <c r="Q110" s="60" t="n"/>
      <c r="R110" s="60" t="n"/>
      <c r="S110" s="60" t="n"/>
      <c r="T110" s="61" t="n"/>
      <c r="U110" s="61" t="n"/>
      <c r="V110" s="60" t="n"/>
      <c r="W110" s="60" t="n"/>
      <c r="X110" s="60" t="n"/>
      <c r="Y110" s="60" t="n"/>
      <c r="Z110" s="61" t="n"/>
      <c r="AA110" s="60" t="n"/>
      <c r="AB110" s="60" t="n"/>
      <c r="AC110" s="60" t="n"/>
      <c r="AD110" s="60" t="n"/>
      <c r="AE110" s="63">
        <f>IF($G110="","",TODAY()-$G110)</f>
        <v/>
      </c>
      <c r="AF110" s="63">
        <f>IF($A110="","",IF($M110&gt;0,"Yes","No"))</f>
        <v/>
      </c>
      <c r="AG110" s="63">
        <f>IF($A110="","",IF(AND($E110="Yes",OR($AA110="No",$AA110="NOT FOUND")),"YES",""))</f>
        <v/>
      </c>
      <c r="AH110" s="66">
        <f>IF($A110="","",TRIM(IF(AND($Y110=0,$I110&lt;&gt;"Yes"),"T0-NoPhishResistant ","")&amp;IF($H110="No","NoMFA ","")&amp;IF(AND($Y110=0,$M110&gt;0),"T0-Standing ","")&amp;IF(AND($Y110=0,$S110="Group only"),"T0-ViaGroupOnly ","")&amp;IF($R110="Yes","BroadAzureScope ","")&amp;IF(AND($E110="Yes",$G110=""),"NeverSignedIn ","")))</f>
        <v/>
      </c>
      <c r="AI110" s="60" t="n"/>
      <c r="AJ110" s="61" t="n"/>
      <c r="AK110" s="60" t="n"/>
      <c r="AL110" s="62" t="n"/>
      <c r="AM110" s="62" t="n"/>
      <c r="AN110" s="62" t="n"/>
      <c r="AO110" s="60" t="n"/>
      <c r="AP110" s="61" t="n"/>
      <c r="AQ110" s="63">
        <f>IF($A110="","",IF(AM110="","Not Enrolled",IF(TODAY()&gt;AM110,"Review Overdue",IF(AM110-TODAY()&lt;=30,"Review Due Soon","Active"))))</f>
        <v/>
      </c>
      <c r="AR110" s="63">
        <f>IF($A110="","",IF(AN110="","NOT REVIEWED",IF(TODAY()-AN110&gt;90,"OVERDUE",IF(TODAY()-AN110&gt;76,"Due Soon","Current"))))</f>
        <v/>
      </c>
    </row>
    <row r="111" ht="15" customHeight="1" s="39">
      <c r="A111" s="61" t="n"/>
      <c r="B111" s="60" t="n"/>
      <c r="C111" s="61" t="n"/>
      <c r="D111" s="60" t="n"/>
      <c r="E111" s="60" t="n"/>
      <c r="F111" s="62" t="n"/>
      <c r="G111" s="62" t="n"/>
      <c r="H111" s="60" t="n"/>
      <c r="I111" s="60" t="n"/>
      <c r="J111" s="61" t="n"/>
      <c r="K111" s="61" t="n"/>
      <c r="L111" s="61" t="n"/>
      <c r="M111" s="60" t="n"/>
      <c r="N111" s="60" t="n"/>
      <c r="O111" s="60" t="n"/>
      <c r="P111" s="61" t="n"/>
      <c r="Q111" s="60" t="n"/>
      <c r="R111" s="60" t="n"/>
      <c r="S111" s="60" t="n"/>
      <c r="T111" s="61" t="n"/>
      <c r="U111" s="61" t="n"/>
      <c r="V111" s="60" t="n"/>
      <c r="W111" s="60" t="n"/>
      <c r="X111" s="60" t="n"/>
      <c r="Y111" s="60" t="n"/>
      <c r="Z111" s="61" t="n"/>
      <c r="AA111" s="60" t="n"/>
      <c r="AB111" s="60" t="n"/>
      <c r="AC111" s="60" t="n"/>
      <c r="AD111" s="60" t="n"/>
      <c r="AE111" s="63">
        <f>IF($G111="","",TODAY()-$G111)</f>
        <v/>
      </c>
      <c r="AF111" s="63">
        <f>IF($A111="","",IF($M111&gt;0,"Yes","No"))</f>
        <v/>
      </c>
      <c r="AG111" s="63">
        <f>IF($A111="","",IF(AND($E111="Yes",OR($AA111="No",$AA111="NOT FOUND")),"YES",""))</f>
        <v/>
      </c>
      <c r="AH111" s="66">
        <f>IF($A111="","",TRIM(IF(AND($Y111=0,$I111&lt;&gt;"Yes"),"T0-NoPhishResistant ","")&amp;IF($H111="No","NoMFA ","")&amp;IF(AND($Y111=0,$M111&gt;0),"T0-Standing ","")&amp;IF(AND($Y111=0,$S111="Group only"),"T0-ViaGroupOnly ","")&amp;IF($R111="Yes","BroadAzureScope ","")&amp;IF(AND($E111="Yes",$G111=""),"NeverSignedIn ","")))</f>
        <v/>
      </c>
      <c r="AI111" s="60" t="n"/>
      <c r="AJ111" s="61" t="n"/>
      <c r="AK111" s="60" t="n"/>
      <c r="AL111" s="62" t="n"/>
      <c r="AM111" s="62" t="n"/>
      <c r="AN111" s="62" t="n"/>
      <c r="AO111" s="60" t="n"/>
      <c r="AP111" s="61" t="n"/>
      <c r="AQ111" s="63">
        <f>IF($A111="","",IF(AM111="","Not Enrolled",IF(TODAY()&gt;AM111,"Review Overdue",IF(AM111-TODAY()&lt;=30,"Review Due Soon","Active"))))</f>
        <v/>
      </c>
      <c r="AR111" s="63">
        <f>IF($A111="","",IF(AN111="","NOT REVIEWED",IF(TODAY()-AN111&gt;90,"OVERDUE",IF(TODAY()-AN111&gt;76,"Due Soon","Current"))))</f>
        <v/>
      </c>
    </row>
    <row r="112" ht="15" customHeight="1" s="39">
      <c r="A112" s="61" t="n"/>
      <c r="B112" s="60" t="n"/>
      <c r="C112" s="61" t="n"/>
      <c r="D112" s="60" t="n"/>
      <c r="E112" s="60" t="n"/>
      <c r="F112" s="62" t="n"/>
      <c r="G112" s="62" t="n"/>
      <c r="H112" s="60" t="n"/>
      <c r="I112" s="60" t="n"/>
      <c r="J112" s="61" t="n"/>
      <c r="K112" s="61" t="n"/>
      <c r="L112" s="61" t="n"/>
      <c r="M112" s="60" t="n"/>
      <c r="N112" s="60" t="n"/>
      <c r="O112" s="60" t="n"/>
      <c r="P112" s="61" t="n"/>
      <c r="Q112" s="60" t="n"/>
      <c r="R112" s="60" t="n"/>
      <c r="S112" s="60" t="n"/>
      <c r="T112" s="61" t="n"/>
      <c r="U112" s="61" t="n"/>
      <c r="V112" s="60" t="n"/>
      <c r="W112" s="60" t="n"/>
      <c r="X112" s="60" t="n"/>
      <c r="Y112" s="60" t="n"/>
      <c r="Z112" s="61" t="n"/>
      <c r="AA112" s="60" t="n"/>
      <c r="AB112" s="60" t="n"/>
      <c r="AC112" s="60" t="n"/>
      <c r="AD112" s="60" t="n"/>
      <c r="AE112" s="63">
        <f>IF($G112="","",TODAY()-$G112)</f>
        <v/>
      </c>
      <c r="AF112" s="63">
        <f>IF($A112="","",IF($M112&gt;0,"Yes","No"))</f>
        <v/>
      </c>
      <c r="AG112" s="63">
        <f>IF($A112="","",IF(AND($E112="Yes",OR($AA112="No",$AA112="NOT FOUND")),"YES",""))</f>
        <v/>
      </c>
      <c r="AH112" s="66">
        <f>IF($A112="","",TRIM(IF(AND($Y112=0,$I112&lt;&gt;"Yes"),"T0-NoPhishResistant ","")&amp;IF($H112="No","NoMFA ","")&amp;IF(AND($Y112=0,$M112&gt;0),"T0-Standing ","")&amp;IF(AND($Y112=0,$S112="Group only"),"T0-ViaGroupOnly ","")&amp;IF($R112="Yes","BroadAzureScope ","")&amp;IF(AND($E112="Yes",$G112=""),"NeverSignedIn ","")))</f>
        <v/>
      </c>
      <c r="AI112" s="60" t="n"/>
      <c r="AJ112" s="61" t="n"/>
      <c r="AK112" s="60" t="n"/>
      <c r="AL112" s="62" t="n"/>
      <c r="AM112" s="62" t="n"/>
      <c r="AN112" s="62" t="n"/>
      <c r="AO112" s="60" t="n"/>
      <c r="AP112" s="61" t="n"/>
      <c r="AQ112" s="63">
        <f>IF($A112="","",IF(AM112="","Not Enrolled",IF(TODAY()&gt;AM112,"Review Overdue",IF(AM112-TODAY()&lt;=30,"Review Due Soon","Active"))))</f>
        <v/>
      </c>
      <c r="AR112" s="63">
        <f>IF($A112="","",IF(AN112="","NOT REVIEWED",IF(TODAY()-AN112&gt;90,"OVERDUE",IF(TODAY()-AN112&gt;76,"Due Soon","Current"))))</f>
        <v/>
      </c>
    </row>
    <row r="113" ht="15" customHeight="1" s="39">
      <c r="A113" s="61" t="n"/>
      <c r="B113" s="60" t="n"/>
      <c r="C113" s="61" t="n"/>
      <c r="D113" s="60" t="n"/>
      <c r="E113" s="60" t="n"/>
      <c r="F113" s="62" t="n"/>
      <c r="G113" s="62" t="n"/>
      <c r="H113" s="60" t="n"/>
      <c r="I113" s="60" t="n"/>
      <c r="J113" s="61" t="n"/>
      <c r="K113" s="61" t="n"/>
      <c r="L113" s="61" t="n"/>
      <c r="M113" s="60" t="n"/>
      <c r="N113" s="60" t="n"/>
      <c r="O113" s="60" t="n"/>
      <c r="P113" s="61" t="n"/>
      <c r="Q113" s="60" t="n"/>
      <c r="R113" s="60" t="n"/>
      <c r="S113" s="60" t="n"/>
      <c r="T113" s="61" t="n"/>
      <c r="U113" s="61" t="n"/>
      <c r="V113" s="60" t="n"/>
      <c r="W113" s="60" t="n"/>
      <c r="X113" s="60" t="n"/>
      <c r="Y113" s="60" t="n"/>
      <c r="Z113" s="61" t="n"/>
      <c r="AA113" s="60" t="n"/>
      <c r="AB113" s="60" t="n"/>
      <c r="AC113" s="60" t="n"/>
      <c r="AD113" s="60" t="n"/>
      <c r="AE113" s="63">
        <f>IF($G113="","",TODAY()-$G113)</f>
        <v/>
      </c>
      <c r="AF113" s="63">
        <f>IF($A113="","",IF($M113&gt;0,"Yes","No"))</f>
        <v/>
      </c>
      <c r="AG113" s="63">
        <f>IF($A113="","",IF(AND($E113="Yes",OR($AA113="No",$AA113="NOT FOUND")),"YES",""))</f>
        <v/>
      </c>
      <c r="AH113" s="66">
        <f>IF($A113="","",TRIM(IF(AND($Y113=0,$I113&lt;&gt;"Yes"),"T0-NoPhishResistant ","")&amp;IF($H113="No","NoMFA ","")&amp;IF(AND($Y113=0,$M113&gt;0),"T0-Standing ","")&amp;IF(AND($Y113=0,$S113="Group only"),"T0-ViaGroupOnly ","")&amp;IF($R113="Yes","BroadAzureScope ","")&amp;IF(AND($E113="Yes",$G113=""),"NeverSignedIn ","")))</f>
        <v/>
      </c>
      <c r="AI113" s="60" t="n"/>
      <c r="AJ113" s="61" t="n"/>
      <c r="AK113" s="60" t="n"/>
      <c r="AL113" s="62" t="n"/>
      <c r="AM113" s="62" t="n"/>
      <c r="AN113" s="62" t="n"/>
      <c r="AO113" s="60" t="n"/>
      <c r="AP113" s="61" t="n"/>
      <c r="AQ113" s="63">
        <f>IF($A113="","",IF(AM113="","Not Enrolled",IF(TODAY()&gt;AM113,"Review Overdue",IF(AM113-TODAY()&lt;=30,"Review Due Soon","Active"))))</f>
        <v/>
      </c>
      <c r="AR113" s="63">
        <f>IF($A113="","",IF(AN113="","NOT REVIEWED",IF(TODAY()-AN113&gt;90,"OVERDUE",IF(TODAY()-AN113&gt;76,"Due Soon","Current"))))</f>
        <v/>
      </c>
    </row>
    <row r="114" ht="15" customHeight="1" s="39">
      <c r="A114" s="61" t="n"/>
      <c r="B114" s="60" t="n"/>
      <c r="C114" s="61" t="n"/>
      <c r="D114" s="60" t="n"/>
      <c r="E114" s="60" t="n"/>
      <c r="F114" s="62" t="n"/>
      <c r="G114" s="62" t="n"/>
      <c r="H114" s="60" t="n"/>
      <c r="I114" s="60" t="n"/>
      <c r="J114" s="61" t="n"/>
      <c r="K114" s="61" t="n"/>
      <c r="L114" s="61" t="n"/>
      <c r="M114" s="60" t="n"/>
      <c r="N114" s="60" t="n"/>
      <c r="O114" s="60" t="n"/>
      <c r="P114" s="61" t="n"/>
      <c r="Q114" s="60" t="n"/>
      <c r="R114" s="60" t="n"/>
      <c r="S114" s="60" t="n"/>
      <c r="T114" s="61" t="n"/>
      <c r="U114" s="61" t="n"/>
      <c r="V114" s="60" t="n"/>
      <c r="W114" s="60" t="n"/>
      <c r="X114" s="60" t="n"/>
      <c r="Y114" s="60" t="n"/>
      <c r="Z114" s="61" t="n"/>
      <c r="AA114" s="60" t="n"/>
      <c r="AB114" s="60" t="n"/>
      <c r="AC114" s="60" t="n"/>
      <c r="AD114" s="60" t="n"/>
      <c r="AE114" s="63">
        <f>IF($G114="","",TODAY()-$G114)</f>
        <v/>
      </c>
      <c r="AF114" s="63">
        <f>IF($A114="","",IF($M114&gt;0,"Yes","No"))</f>
        <v/>
      </c>
      <c r="AG114" s="63">
        <f>IF($A114="","",IF(AND($E114="Yes",OR($AA114="No",$AA114="NOT FOUND")),"YES",""))</f>
        <v/>
      </c>
      <c r="AH114" s="66">
        <f>IF($A114="","",TRIM(IF(AND($Y114=0,$I114&lt;&gt;"Yes"),"T0-NoPhishResistant ","")&amp;IF($H114="No","NoMFA ","")&amp;IF(AND($Y114=0,$M114&gt;0),"T0-Standing ","")&amp;IF(AND($Y114=0,$S114="Group only"),"T0-ViaGroupOnly ","")&amp;IF($R114="Yes","BroadAzureScope ","")&amp;IF(AND($E114="Yes",$G114=""),"NeverSignedIn ","")))</f>
        <v/>
      </c>
      <c r="AI114" s="60" t="n"/>
      <c r="AJ114" s="61" t="n"/>
      <c r="AK114" s="60" t="n"/>
      <c r="AL114" s="62" t="n"/>
      <c r="AM114" s="62" t="n"/>
      <c r="AN114" s="62" t="n"/>
      <c r="AO114" s="60" t="n"/>
      <c r="AP114" s="61" t="n"/>
      <c r="AQ114" s="63">
        <f>IF($A114="","",IF(AM114="","Not Enrolled",IF(TODAY()&gt;AM114,"Review Overdue",IF(AM114-TODAY()&lt;=30,"Review Due Soon","Active"))))</f>
        <v/>
      </c>
      <c r="AR114" s="63">
        <f>IF($A114="","",IF(AN114="","NOT REVIEWED",IF(TODAY()-AN114&gt;90,"OVERDUE",IF(TODAY()-AN114&gt;76,"Due Soon","Current"))))</f>
        <v/>
      </c>
    </row>
    <row r="115" ht="15" customHeight="1" s="39">
      <c r="A115" s="61" t="n"/>
      <c r="B115" s="60" t="n"/>
      <c r="C115" s="61" t="n"/>
      <c r="D115" s="60" t="n"/>
      <c r="E115" s="60" t="n"/>
      <c r="F115" s="62" t="n"/>
      <c r="G115" s="62" t="n"/>
      <c r="H115" s="60" t="n"/>
      <c r="I115" s="60" t="n"/>
      <c r="J115" s="61" t="n"/>
      <c r="K115" s="61" t="n"/>
      <c r="L115" s="61" t="n"/>
      <c r="M115" s="60" t="n"/>
      <c r="N115" s="60" t="n"/>
      <c r="O115" s="60" t="n"/>
      <c r="P115" s="61" t="n"/>
      <c r="Q115" s="60" t="n"/>
      <c r="R115" s="60" t="n"/>
      <c r="S115" s="60" t="n"/>
      <c r="T115" s="61" t="n"/>
      <c r="U115" s="61" t="n"/>
      <c r="V115" s="60" t="n"/>
      <c r="W115" s="60" t="n"/>
      <c r="X115" s="60" t="n"/>
      <c r="Y115" s="60" t="n"/>
      <c r="Z115" s="61" t="n"/>
      <c r="AA115" s="60" t="n"/>
      <c r="AB115" s="60" t="n"/>
      <c r="AC115" s="60" t="n"/>
      <c r="AD115" s="60" t="n"/>
      <c r="AE115" s="63">
        <f>IF($G115="","",TODAY()-$G115)</f>
        <v/>
      </c>
      <c r="AF115" s="63">
        <f>IF($A115="","",IF($M115&gt;0,"Yes","No"))</f>
        <v/>
      </c>
      <c r="AG115" s="63">
        <f>IF($A115="","",IF(AND($E115="Yes",OR($AA115="No",$AA115="NOT FOUND")),"YES",""))</f>
        <v/>
      </c>
      <c r="AH115" s="66">
        <f>IF($A115="","",TRIM(IF(AND($Y115=0,$I115&lt;&gt;"Yes"),"T0-NoPhishResistant ","")&amp;IF($H115="No","NoMFA ","")&amp;IF(AND($Y115=0,$M115&gt;0),"T0-Standing ","")&amp;IF(AND($Y115=0,$S115="Group only"),"T0-ViaGroupOnly ","")&amp;IF($R115="Yes","BroadAzureScope ","")&amp;IF(AND($E115="Yes",$G115=""),"NeverSignedIn ","")))</f>
        <v/>
      </c>
      <c r="AI115" s="60" t="n"/>
      <c r="AJ115" s="61" t="n"/>
      <c r="AK115" s="60" t="n"/>
      <c r="AL115" s="62" t="n"/>
      <c r="AM115" s="62" t="n"/>
      <c r="AN115" s="62" t="n"/>
      <c r="AO115" s="60" t="n"/>
      <c r="AP115" s="61" t="n"/>
      <c r="AQ115" s="63">
        <f>IF($A115="","",IF(AM115="","Not Enrolled",IF(TODAY()&gt;AM115,"Review Overdue",IF(AM115-TODAY()&lt;=30,"Review Due Soon","Active"))))</f>
        <v/>
      </c>
      <c r="AR115" s="63">
        <f>IF($A115="","",IF(AN115="","NOT REVIEWED",IF(TODAY()-AN115&gt;90,"OVERDUE",IF(TODAY()-AN115&gt;76,"Due Soon","Current"))))</f>
        <v/>
      </c>
    </row>
    <row r="116" ht="15" customHeight="1" s="39">
      <c r="A116" s="61" t="n"/>
      <c r="B116" s="60" t="n"/>
      <c r="C116" s="61" t="n"/>
      <c r="D116" s="60" t="n"/>
      <c r="E116" s="60" t="n"/>
      <c r="F116" s="62" t="n"/>
      <c r="G116" s="62" t="n"/>
      <c r="H116" s="60" t="n"/>
      <c r="I116" s="60" t="n"/>
      <c r="J116" s="61" t="n"/>
      <c r="K116" s="61" t="n"/>
      <c r="L116" s="61" t="n"/>
      <c r="M116" s="60" t="n"/>
      <c r="N116" s="60" t="n"/>
      <c r="O116" s="60" t="n"/>
      <c r="P116" s="61" t="n"/>
      <c r="Q116" s="60" t="n"/>
      <c r="R116" s="60" t="n"/>
      <c r="S116" s="60" t="n"/>
      <c r="T116" s="61" t="n"/>
      <c r="U116" s="61" t="n"/>
      <c r="V116" s="60" t="n"/>
      <c r="W116" s="60" t="n"/>
      <c r="X116" s="60" t="n"/>
      <c r="Y116" s="60" t="n"/>
      <c r="Z116" s="61" t="n"/>
      <c r="AA116" s="60" t="n"/>
      <c r="AB116" s="60" t="n"/>
      <c r="AC116" s="60" t="n"/>
      <c r="AD116" s="60" t="n"/>
      <c r="AE116" s="63">
        <f>IF($G116="","",TODAY()-$G116)</f>
        <v/>
      </c>
      <c r="AF116" s="63">
        <f>IF($A116="","",IF($M116&gt;0,"Yes","No"))</f>
        <v/>
      </c>
      <c r="AG116" s="63">
        <f>IF($A116="","",IF(AND($E116="Yes",OR($AA116="No",$AA116="NOT FOUND")),"YES",""))</f>
        <v/>
      </c>
      <c r="AH116" s="66">
        <f>IF($A116="","",TRIM(IF(AND($Y116=0,$I116&lt;&gt;"Yes"),"T0-NoPhishResistant ","")&amp;IF($H116="No","NoMFA ","")&amp;IF(AND($Y116=0,$M116&gt;0),"T0-Standing ","")&amp;IF(AND($Y116=0,$S116="Group only"),"T0-ViaGroupOnly ","")&amp;IF($R116="Yes","BroadAzureScope ","")&amp;IF(AND($E116="Yes",$G116=""),"NeverSignedIn ","")))</f>
        <v/>
      </c>
      <c r="AI116" s="60" t="n"/>
      <c r="AJ116" s="61" t="n"/>
      <c r="AK116" s="60" t="n"/>
      <c r="AL116" s="62" t="n"/>
      <c r="AM116" s="62" t="n"/>
      <c r="AN116" s="62" t="n"/>
      <c r="AO116" s="60" t="n"/>
      <c r="AP116" s="61" t="n"/>
      <c r="AQ116" s="63">
        <f>IF($A116="","",IF(AM116="","Not Enrolled",IF(TODAY()&gt;AM116,"Review Overdue",IF(AM116-TODAY()&lt;=30,"Review Due Soon","Active"))))</f>
        <v/>
      </c>
      <c r="AR116" s="63">
        <f>IF($A116="","",IF(AN116="","NOT REVIEWED",IF(TODAY()-AN116&gt;90,"OVERDUE",IF(TODAY()-AN116&gt;76,"Due Soon","Current"))))</f>
        <v/>
      </c>
    </row>
    <row r="117" ht="15" customHeight="1" s="39">
      <c r="A117" s="61" t="n"/>
      <c r="B117" s="60" t="n"/>
      <c r="C117" s="61" t="n"/>
      <c r="D117" s="60" t="n"/>
      <c r="E117" s="60" t="n"/>
      <c r="F117" s="62" t="n"/>
      <c r="G117" s="62" t="n"/>
      <c r="H117" s="60" t="n"/>
      <c r="I117" s="60" t="n"/>
      <c r="J117" s="61" t="n"/>
      <c r="K117" s="61" t="n"/>
      <c r="L117" s="61" t="n"/>
      <c r="M117" s="60" t="n"/>
      <c r="N117" s="60" t="n"/>
      <c r="O117" s="60" t="n"/>
      <c r="P117" s="61" t="n"/>
      <c r="Q117" s="60" t="n"/>
      <c r="R117" s="60" t="n"/>
      <c r="S117" s="60" t="n"/>
      <c r="T117" s="61" t="n"/>
      <c r="U117" s="61" t="n"/>
      <c r="V117" s="60" t="n"/>
      <c r="W117" s="60" t="n"/>
      <c r="X117" s="60" t="n"/>
      <c r="Y117" s="60" t="n"/>
      <c r="Z117" s="61" t="n"/>
      <c r="AA117" s="60" t="n"/>
      <c r="AB117" s="60" t="n"/>
      <c r="AC117" s="60" t="n"/>
      <c r="AD117" s="60" t="n"/>
      <c r="AE117" s="63">
        <f>IF($G117="","",TODAY()-$G117)</f>
        <v/>
      </c>
      <c r="AF117" s="63">
        <f>IF($A117="","",IF($M117&gt;0,"Yes","No"))</f>
        <v/>
      </c>
      <c r="AG117" s="63">
        <f>IF($A117="","",IF(AND($E117="Yes",OR($AA117="No",$AA117="NOT FOUND")),"YES",""))</f>
        <v/>
      </c>
      <c r="AH117" s="66">
        <f>IF($A117="","",TRIM(IF(AND($Y117=0,$I117&lt;&gt;"Yes"),"T0-NoPhishResistant ","")&amp;IF($H117="No","NoMFA ","")&amp;IF(AND($Y117=0,$M117&gt;0),"T0-Standing ","")&amp;IF(AND($Y117=0,$S117="Group only"),"T0-ViaGroupOnly ","")&amp;IF($R117="Yes","BroadAzureScope ","")&amp;IF(AND($E117="Yes",$G117=""),"NeverSignedIn ","")))</f>
        <v/>
      </c>
      <c r="AI117" s="60" t="n"/>
      <c r="AJ117" s="61" t="n"/>
      <c r="AK117" s="60" t="n"/>
      <c r="AL117" s="62" t="n"/>
      <c r="AM117" s="62" t="n"/>
      <c r="AN117" s="62" t="n"/>
      <c r="AO117" s="60" t="n"/>
      <c r="AP117" s="61" t="n"/>
      <c r="AQ117" s="63">
        <f>IF($A117="","",IF(AM117="","Not Enrolled",IF(TODAY()&gt;AM117,"Review Overdue",IF(AM117-TODAY()&lt;=30,"Review Due Soon","Active"))))</f>
        <v/>
      </c>
      <c r="AR117" s="63">
        <f>IF($A117="","",IF(AN117="","NOT REVIEWED",IF(TODAY()-AN117&gt;90,"OVERDUE",IF(TODAY()-AN117&gt;76,"Due Soon","Current"))))</f>
        <v/>
      </c>
    </row>
    <row r="118" ht="15" customHeight="1" s="39">
      <c r="A118" s="61" t="n"/>
      <c r="B118" s="60" t="n"/>
      <c r="C118" s="61" t="n"/>
      <c r="D118" s="60" t="n"/>
      <c r="E118" s="60" t="n"/>
      <c r="F118" s="62" t="n"/>
      <c r="G118" s="62" t="n"/>
      <c r="H118" s="60" t="n"/>
      <c r="I118" s="60" t="n"/>
      <c r="J118" s="61" t="n"/>
      <c r="K118" s="61" t="n"/>
      <c r="L118" s="61" t="n"/>
      <c r="M118" s="60" t="n"/>
      <c r="N118" s="60" t="n"/>
      <c r="O118" s="60" t="n"/>
      <c r="P118" s="61" t="n"/>
      <c r="Q118" s="60" t="n"/>
      <c r="R118" s="60" t="n"/>
      <c r="S118" s="60" t="n"/>
      <c r="T118" s="61" t="n"/>
      <c r="U118" s="61" t="n"/>
      <c r="V118" s="60" t="n"/>
      <c r="W118" s="60" t="n"/>
      <c r="X118" s="60" t="n"/>
      <c r="Y118" s="60" t="n"/>
      <c r="Z118" s="61" t="n"/>
      <c r="AA118" s="60" t="n"/>
      <c r="AB118" s="60" t="n"/>
      <c r="AC118" s="60" t="n"/>
      <c r="AD118" s="60" t="n"/>
      <c r="AE118" s="63">
        <f>IF($G118="","",TODAY()-$G118)</f>
        <v/>
      </c>
      <c r="AF118" s="63">
        <f>IF($A118="","",IF($M118&gt;0,"Yes","No"))</f>
        <v/>
      </c>
      <c r="AG118" s="63">
        <f>IF($A118="","",IF(AND($E118="Yes",OR($AA118="No",$AA118="NOT FOUND")),"YES",""))</f>
        <v/>
      </c>
      <c r="AH118" s="66">
        <f>IF($A118="","",TRIM(IF(AND($Y118=0,$I118&lt;&gt;"Yes"),"T0-NoPhishResistant ","")&amp;IF($H118="No","NoMFA ","")&amp;IF(AND($Y118=0,$M118&gt;0),"T0-Standing ","")&amp;IF(AND($Y118=0,$S118="Group only"),"T0-ViaGroupOnly ","")&amp;IF($R118="Yes","BroadAzureScope ","")&amp;IF(AND($E118="Yes",$G118=""),"NeverSignedIn ","")))</f>
        <v/>
      </c>
      <c r="AI118" s="60" t="n"/>
      <c r="AJ118" s="61" t="n"/>
      <c r="AK118" s="60" t="n"/>
      <c r="AL118" s="62" t="n"/>
      <c r="AM118" s="62" t="n"/>
      <c r="AN118" s="62" t="n"/>
      <c r="AO118" s="60" t="n"/>
      <c r="AP118" s="61" t="n"/>
      <c r="AQ118" s="63">
        <f>IF($A118="","",IF(AM118="","Not Enrolled",IF(TODAY()&gt;AM118,"Review Overdue",IF(AM118-TODAY()&lt;=30,"Review Due Soon","Active"))))</f>
        <v/>
      </c>
      <c r="AR118" s="63">
        <f>IF($A118="","",IF(AN118="","NOT REVIEWED",IF(TODAY()-AN118&gt;90,"OVERDUE",IF(TODAY()-AN118&gt;76,"Due Soon","Current"))))</f>
        <v/>
      </c>
    </row>
    <row r="119" ht="15" customHeight="1" s="39">
      <c r="A119" s="61" t="n"/>
      <c r="B119" s="60" t="n"/>
      <c r="C119" s="61" t="n"/>
      <c r="D119" s="60" t="n"/>
      <c r="E119" s="60" t="n"/>
      <c r="F119" s="62" t="n"/>
      <c r="G119" s="62" t="n"/>
      <c r="H119" s="60" t="n"/>
      <c r="I119" s="60" t="n"/>
      <c r="J119" s="61" t="n"/>
      <c r="K119" s="61" t="n"/>
      <c r="L119" s="61" t="n"/>
      <c r="M119" s="60" t="n"/>
      <c r="N119" s="60" t="n"/>
      <c r="O119" s="60" t="n"/>
      <c r="P119" s="61" t="n"/>
      <c r="Q119" s="60" t="n"/>
      <c r="R119" s="60" t="n"/>
      <c r="S119" s="60" t="n"/>
      <c r="T119" s="61" t="n"/>
      <c r="U119" s="61" t="n"/>
      <c r="V119" s="60" t="n"/>
      <c r="W119" s="60" t="n"/>
      <c r="X119" s="60" t="n"/>
      <c r="Y119" s="60" t="n"/>
      <c r="Z119" s="61" t="n"/>
      <c r="AA119" s="60" t="n"/>
      <c r="AB119" s="60" t="n"/>
      <c r="AC119" s="60" t="n"/>
      <c r="AD119" s="60" t="n"/>
      <c r="AE119" s="63">
        <f>IF($G119="","",TODAY()-$G119)</f>
        <v/>
      </c>
      <c r="AF119" s="63">
        <f>IF($A119="","",IF($M119&gt;0,"Yes","No"))</f>
        <v/>
      </c>
      <c r="AG119" s="63">
        <f>IF($A119="","",IF(AND($E119="Yes",OR($AA119="No",$AA119="NOT FOUND")),"YES",""))</f>
        <v/>
      </c>
      <c r="AH119" s="66">
        <f>IF($A119="","",TRIM(IF(AND($Y119=0,$I119&lt;&gt;"Yes"),"T0-NoPhishResistant ","")&amp;IF($H119="No","NoMFA ","")&amp;IF(AND($Y119=0,$M119&gt;0),"T0-Standing ","")&amp;IF(AND($Y119=0,$S119="Group only"),"T0-ViaGroupOnly ","")&amp;IF($R119="Yes","BroadAzureScope ","")&amp;IF(AND($E119="Yes",$G119=""),"NeverSignedIn ","")))</f>
        <v/>
      </c>
      <c r="AI119" s="60" t="n"/>
      <c r="AJ119" s="61" t="n"/>
      <c r="AK119" s="60" t="n"/>
      <c r="AL119" s="62" t="n"/>
      <c r="AM119" s="62" t="n"/>
      <c r="AN119" s="62" t="n"/>
      <c r="AO119" s="60" t="n"/>
      <c r="AP119" s="61" t="n"/>
      <c r="AQ119" s="63">
        <f>IF($A119="","",IF(AM119="","Not Enrolled",IF(TODAY()&gt;AM119,"Review Overdue",IF(AM119-TODAY()&lt;=30,"Review Due Soon","Active"))))</f>
        <v/>
      </c>
      <c r="AR119" s="63">
        <f>IF($A119="","",IF(AN119="","NOT REVIEWED",IF(TODAY()-AN119&gt;90,"OVERDUE",IF(TODAY()-AN119&gt;76,"Due Soon","Current"))))</f>
        <v/>
      </c>
    </row>
    <row r="120" ht="15" customHeight="1" s="39">
      <c r="A120" s="61" t="n"/>
      <c r="B120" s="60" t="n"/>
      <c r="C120" s="61" t="n"/>
      <c r="D120" s="60" t="n"/>
      <c r="E120" s="60" t="n"/>
      <c r="F120" s="62" t="n"/>
      <c r="G120" s="62" t="n"/>
      <c r="H120" s="60" t="n"/>
      <c r="I120" s="60" t="n"/>
      <c r="J120" s="61" t="n"/>
      <c r="K120" s="61" t="n"/>
      <c r="L120" s="61" t="n"/>
      <c r="M120" s="60" t="n"/>
      <c r="N120" s="60" t="n"/>
      <c r="O120" s="60" t="n"/>
      <c r="P120" s="61" t="n"/>
      <c r="Q120" s="60" t="n"/>
      <c r="R120" s="60" t="n"/>
      <c r="S120" s="60" t="n"/>
      <c r="T120" s="61" t="n"/>
      <c r="U120" s="61" t="n"/>
      <c r="V120" s="60" t="n"/>
      <c r="W120" s="60" t="n"/>
      <c r="X120" s="60" t="n"/>
      <c r="Y120" s="60" t="n"/>
      <c r="Z120" s="61" t="n"/>
      <c r="AA120" s="60" t="n"/>
      <c r="AB120" s="60" t="n"/>
      <c r="AC120" s="60" t="n"/>
      <c r="AD120" s="60" t="n"/>
      <c r="AE120" s="63">
        <f>IF($G120="","",TODAY()-$G120)</f>
        <v/>
      </c>
      <c r="AF120" s="63">
        <f>IF($A120="","",IF($M120&gt;0,"Yes","No"))</f>
        <v/>
      </c>
      <c r="AG120" s="63">
        <f>IF($A120="","",IF(AND($E120="Yes",OR($AA120="No",$AA120="NOT FOUND")),"YES",""))</f>
        <v/>
      </c>
      <c r="AH120" s="66">
        <f>IF($A120="","",TRIM(IF(AND($Y120=0,$I120&lt;&gt;"Yes"),"T0-NoPhishResistant ","")&amp;IF($H120="No","NoMFA ","")&amp;IF(AND($Y120=0,$M120&gt;0),"T0-Standing ","")&amp;IF(AND($Y120=0,$S120="Group only"),"T0-ViaGroupOnly ","")&amp;IF($R120="Yes","BroadAzureScope ","")&amp;IF(AND($E120="Yes",$G120=""),"NeverSignedIn ","")))</f>
        <v/>
      </c>
      <c r="AI120" s="60" t="n"/>
      <c r="AJ120" s="61" t="n"/>
      <c r="AK120" s="60" t="n"/>
      <c r="AL120" s="62" t="n"/>
      <c r="AM120" s="62" t="n"/>
      <c r="AN120" s="62" t="n"/>
      <c r="AO120" s="60" t="n"/>
      <c r="AP120" s="61" t="n"/>
      <c r="AQ120" s="63">
        <f>IF($A120="","",IF(AM120="","Not Enrolled",IF(TODAY()&gt;AM120,"Review Overdue",IF(AM120-TODAY()&lt;=30,"Review Due Soon","Active"))))</f>
        <v/>
      </c>
      <c r="AR120" s="63">
        <f>IF($A120="","",IF(AN120="","NOT REVIEWED",IF(TODAY()-AN120&gt;90,"OVERDUE",IF(TODAY()-AN120&gt;76,"Due Soon","Current"))))</f>
        <v/>
      </c>
    </row>
    <row r="121" ht="15" customHeight="1" s="39">
      <c r="A121" s="61" t="n"/>
      <c r="B121" s="60" t="n"/>
      <c r="C121" s="61" t="n"/>
      <c r="D121" s="60" t="n"/>
      <c r="E121" s="60" t="n"/>
      <c r="F121" s="62" t="n"/>
      <c r="G121" s="62" t="n"/>
      <c r="H121" s="60" t="n"/>
      <c r="I121" s="60" t="n"/>
      <c r="J121" s="61" t="n"/>
      <c r="K121" s="61" t="n"/>
      <c r="L121" s="61" t="n"/>
      <c r="M121" s="60" t="n"/>
      <c r="N121" s="60" t="n"/>
      <c r="O121" s="60" t="n"/>
      <c r="P121" s="61" t="n"/>
      <c r="Q121" s="60" t="n"/>
      <c r="R121" s="60" t="n"/>
      <c r="S121" s="60" t="n"/>
      <c r="T121" s="61" t="n"/>
      <c r="U121" s="61" t="n"/>
      <c r="V121" s="60" t="n"/>
      <c r="W121" s="60" t="n"/>
      <c r="X121" s="60" t="n"/>
      <c r="Y121" s="60" t="n"/>
      <c r="Z121" s="61" t="n"/>
      <c r="AA121" s="60" t="n"/>
      <c r="AB121" s="60" t="n"/>
      <c r="AC121" s="60" t="n"/>
      <c r="AD121" s="60" t="n"/>
      <c r="AE121" s="63">
        <f>IF($G121="","",TODAY()-$G121)</f>
        <v/>
      </c>
      <c r="AF121" s="63">
        <f>IF($A121="","",IF($M121&gt;0,"Yes","No"))</f>
        <v/>
      </c>
      <c r="AG121" s="63">
        <f>IF($A121="","",IF(AND($E121="Yes",OR($AA121="No",$AA121="NOT FOUND")),"YES",""))</f>
        <v/>
      </c>
      <c r="AH121" s="66">
        <f>IF($A121="","",TRIM(IF(AND($Y121=0,$I121&lt;&gt;"Yes"),"T0-NoPhishResistant ","")&amp;IF($H121="No","NoMFA ","")&amp;IF(AND($Y121=0,$M121&gt;0),"T0-Standing ","")&amp;IF(AND($Y121=0,$S121="Group only"),"T0-ViaGroupOnly ","")&amp;IF($R121="Yes","BroadAzureScope ","")&amp;IF(AND($E121="Yes",$G121=""),"NeverSignedIn ","")))</f>
        <v/>
      </c>
      <c r="AI121" s="60" t="n"/>
      <c r="AJ121" s="61" t="n"/>
      <c r="AK121" s="60" t="n"/>
      <c r="AL121" s="62" t="n"/>
      <c r="AM121" s="62" t="n"/>
      <c r="AN121" s="62" t="n"/>
      <c r="AO121" s="60" t="n"/>
      <c r="AP121" s="61" t="n"/>
      <c r="AQ121" s="63">
        <f>IF($A121="","",IF(AM121="","Not Enrolled",IF(TODAY()&gt;AM121,"Review Overdue",IF(AM121-TODAY()&lt;=30,"Review Due Soon","Active"))))</f>
        <v/>
      </c>
      <c r="AR121" s="63">
        <f>IF($A121="","",IF(AN121="","NOT REVIEWED",IF(TODAY()-AN121&gt;90,"OVERDUE",IF(TODAY()-AN121&gt;76,"Due Soon","Current"))))</f>
        <v/>
      </c>
    </row>
    <row r="122" ht="15" customHeight="1" s="39">
      <c r="A122" s="61" t="n"/>
      <c r="B122" s="60" t="n"/>
      <c r="C122" s="61" t="n"/>
      <c r="D122" s="60" t="n"/>
      <c r="E122" s="60" t="n"/>
      <c r="F122" s="62" t="n"/>
      <c r="G122" s="62" t="n"/>
      <c r="H122" s="60" t="n"/>
      <c r="I122" s="60" t="n"/>
      <c r="J122" s="61" t="n"/>
      <c r="K122" s="61" t="n"/>
      <c r="L122" s="61" t="n"/>
      <c r="M122" s="60" t="n"/>
      <c r="N122" s="60" t="n"/>
      <c r="O122" s="60" t="n"/>
      <c r="P122" s="61" t="n"/>
      <c r="Q122" s="60" t="n"/>
      <c r="R122" s="60" t="n"/>
      <c r="S122" s="60" t="n"/>
      <c r="T122" s="61" t="n"/>
      <c r="U122" s="61" t="n"/>
      <c r="V122" s="60" t="n"/>
      <c r="W122" s="60" t="n"/>
      <c r="X122" s="60" t="n"/>
      <c r="Y122" s="60" t="n"/>
      <c r="Z122" s="61" t="n"/>
      <c r="AA122" s="60" t="n"/>
      <c r="AB122" s="60" t="n"/>
      <c r="AC122" s="60" t="n"/>
      <c r="AD122" s="60" t="n"/>
      <c r="AE122" s="63">
        <f>IF($G122="","",TODAY()-$G122)</f>
        <v/>
      </c>
      <c r="AF122" s="63">
        <f>IF($A122="","",IF($M122&gt;0,"Yes","No"))</f>
        <v/>
      </c>
      <c r="AG122" s="63">
        <f>IF($A122="","",IF(AND($E122="Yes",OR($AA122="No",$AA122="NOT FOUND")),"YES",""))</f>
        <v/>
      </c>
      <c r="AH122" s="66">
        <f>IF($A122="","",TRIM(IF(AND($Y122=0,$I122&lt;&gt;"Yes"),"T0-NoPhishResistant ","")&amp;IF($H122="No","NoMFA ","")&amp;IF(AND($Y122=0,$M122&gt;0),"T0-Standing ","")&amp;IF(AND($Y122=0,$S122="Group only"),"T0-ViaGroupOnly ","")&amp;IF($R122="Yes","BroadAzureScope ","")&amp;IF(AND($E122="Yes",$G122=""),"NeverSignedIn ","")))</f>
        <v/>
      </c>
      <c r="AI122" s="60" t="n"/>
      <c r="AJ122" s="61" t="n"/>
      <c r="AK122" s="60" t="n"/>
      <c r="AL122" s="62" t="n"/>
      <c r="AM122" s="62" t="n"/>
      <c r="AN122" s="62" t="n"/>
      <c r="AO122" s="60" t="n"/>
      <c r="AP122" s="61" t="n"/>
      <c r="AQ122" s="63">
        <f>IF($A122="","",IF(AM122="","Not Enrolled",IF(TODAY()&gt;AM122,"Review Overdue",IF(AM122-TODAY()&lt;=30,"Review Due Soon","Active"))))</f>
        <v/>
      </c>
      <c r="AR122" s="63">
        <f>IF($A122="","",IF(AN122="","NOT REVIEWED",IF(TODAY()-AN122&gt;90,"OVERDUE",IF(TODAY()-AN122&gt;76,"Due Soon","Current"))))</f>
        <v/>
      </c>
    </row>
    <row r="123" ht="15" customHeight="1" s="39">
      <c r="A123" s="61" t="n"/>
      <c r="B123" s="60" t="n"/>
      <c r="C123" s="61" t="n"/>
      <c r="D123" s="60" t="n"/>
      <c r="E123" s="60" t="n"/>
      <c r="F123" s="62" t="n"/>
      <c r="G123" s="62" t="n"/>
      <c r="H123" s="60" t="n"/>
      <c r="I123" s="60" t="n"/>
      <c r="J123" s="61" t="n"/>
      <c r="K123" s="61" t="n"/>
      <c r="L123" s="61" t="n"/>
      <c r="M123" s="60" t="n"/>
      <c r="N123" s="60" t="n"/>
      <c r="O123" s="60" t="n"/>
      <c r="P123" s="61" t="n"/>
      <c r="Q123" s="60" t="n"/>
      <c r="R123" s="60" t="n"/>
      <c r="S123" s="60" t="n"/>
      <c r="T123" s="61" t="n"/>
      <c r="U123" s="61" t="n"/>
      <c r="V123" s="60" t="n"/>
      <c r="W123" s="60" t="n"/>
      <c r="X123" s="60" t="n"/>
      <c r="Y123" s="60" t="n"/>
      <c r="Z123" s="61" t="n"/>
      <c r="AA123" s="60" t="n"/>
      <c r="AB123" s="60" t="n"/>
      <c r="AC123" s="60" t="n"/>
      <c r="AD123" s="60" t="n"/>
      <c r="AE123" s="63">
        <f>IF($G123="","",TODAY()-$G123)</f>
        <v/>
      </c>
      <c r="AF123" s="63">
        <f>IF($A123="","",IF($M123&gt;0,"Yes","No"))</f>
        <v/>
      </c>
      <c r="AG123" s="63">
        <f>IF($A123="","",IF(AND($E123="Yes",OR($AA123="No",$AA123="NOT FOUND")),"YES",""))</f>
        <v/>
      </c>
      <c r="AH123" s="66">
        <f>IF($A123="","",TRIM(IF(AND($Y123=0,$I123&lt;&gt;"Yes"),"T0-NoPhishResistant ","")&amp;IF($H123="No","NoMFA ","")&amp;IF(AND($Y123=0,$M123&gt;0),"T0-Standing ","")&amp;IF(AND($Y123=0,$S123="Group only"),"T0-ViaGroupOnly ","")&amp;IF($R123="Yes","BroadAzureScope ","")&amp;IF(AND($E123="Yes",$G123=""),"NeverSignedIn ","")))</f>
        <v/>
      </c>
      <c r="AI123" s="60" t="n"/>
      <c r="AJ123" s="61" t="n"/>
      <c r="AK123" s="60" t="n"/>
      <c r="AL123" s="62" t="n"/>
      <c r="AM123" s="62" t="n"/>
      <c r="AN123" s="62" t="n"/>
      <c r="AO123" s="60" t="n"/>
      <c r="AP123" s="61" t="n"/>
      <c r="AQ123" s="63">
        <f>IF($A123="","",IF(AM123="","Not Enrolled",IF(TODAY()&gt;AM123,"Review Overdue",IF(AM123-TODAY()&lt;=30,"Review Due Soon","Active"))))</f>
        <v/>
      </c>
      <c r="AR123" s="63">
        <f>IF($A123="","",IF(AN123="","NOT REVIEWED",IF(TODAY()-AN123&gt;90,"OVERDUE",IF(TODAY()-AN123&gt;76,"Due Soon","Current"))))</f>
        <v/>
      </c>
    </row>
    <row r="124" ht="15" customHeight="1" s="39">
      <c r="A124" s="61" t="n"/>
      <c r="B124" s="60" t="n"/>
      <c r="C124" s="61" t="n"/>
      <c r="D124" s="60" t="n"/>
      <c r="E124" s="60" t="n"/>
      <c r="F124" s="62" t="n"/>
      <c r="G124" s="62" t="n"/>
      <c r="H124" s="60" t="n"/>
      <c r="I124" s="60" t="n"/>
      <c r="J124" s="61" t="n"/>
      <c r="K124" s="61" t="n"/>
      <c r="L124" s="61" t="n"/>
      <c r="M124" s="60" t="n"/>
      <c r="N124" s="60" t="n"/>
      <c r="O124" s="60" t="n"/>
      <c r="P124" s="61" t="n"/>
      <c r="Q124" s="60" t="n"/>
      <c r="R124" s="60" t="n"/>
      <c r="S124" s="60" t="n"/>
      <c r="T124" s="61" t="n"/>
      <c r="U124" s="61" t="n"/>
      <c r="V124" s="60" t="n"/>
      <c r="W124" s="60" t="n"/>
      <c r="X124" s="60" t="n"/>
      <c r="Y124" s="60" t="n"/>
      <c r="Z124" s="61" t="n"/>
      <c r="AA124" s="60" t="n"/>
      <c r="AB124" s="60" t="n"/>
      <c r="AC124" s="60" t="n"/>
      <c r="AD124" s="60" t="n"/>
      <c r="AE124" s="63">
        <f>IF($G124="","",TODAY()-$G124)</f>
        <v/>
      </c>
      <c r="AF124" s="63">
        <f>IF($A124="","",IF($M124&gt;0,"Yes","No"))</f>
        <v/>
      </c>
      <c r="AG124" s="63">
        <f>IF($A124="","",IF(AND($E124="Yes",OR($AA124="No",$AA124="NOT FOUND")),"YES",""))</f>
        <v/>
      </c>
      <c r="AH124" s="66">
        <f>IF($A124="","",TRIM(IF(AND($Y124=0,$I124&lt;&gt;"Yes"),"T0-NoPhishResistant ","")&amp;IF($H124="No","NoMFA ","")&amp;IF(AND($Y124=0,$M124&gt;0),"T0-Standing ","")&amp;IF(AND($Y124=0,$S124="Group only"),"T0-ViaGroupOnly ","")&amp;IF($R124="Yes","BroadAzureScope ","")&amp;IF(AND($E124="Yes",$G124=""),"NeverSignedIn ","")))</f>
        <v/>
      </c>
      <c r="AI124" s="60" t="n"/>
      <c r="AJ124" s="61" t="n"/>
      <c r="AK124" s="60" t="n"/>
      <c r="AL124" s="62" t="n"/>
      <c r="AM124" s="62" t="n"/>
      <c r="AN124" s="62" t="n"/>
      <c r="AO124" s="60" t="n"/>
      <c r="AP124" s="61" t="n"/>
      <c r="AQ124" s="63">
        <f>IF($A124="","",IF(AM124="","Not Enrolled",IF(TODAY()&gt;AM124,"Review Overdue",IF(AM124-TODAY()&lt;=30,"Review Due Soon","Active"))))</f>
        <v/>
      </c>
      <c r="AR124" s="63">
        <f>IF($A124="","",IF(AN124="","NOT REVIEWED",IF(TODAY()-AN124&gt;90,"OVERDUE",IF(TODAY()-AN124&gt;76,"Due Soon","Current"))))</f>
        <v/>
      </c>
    </row>
    <row r="125" ht="15" customHeight="1" s="39">
      <c r="A125" s="61" t="n"/>
      <c r="B125" s="60" t="n"/>
      <c r="C125" s="61" t="n"/>
      <c r="D125" s="60" t="n"/>
      <c r="E125" s="60" t="n"/>
      <c r="F125" s="62" t="n"/>
      <c r="G125" s="62" t="n"/>
      <c r="H125" s="60" t="n"/>
      <c r="I125" s="60" t="n"/>
      <c r="J125" s="61" t="n"/>
      <c r="K125" s="61" t="n"/>
      <c r="L125" s="61" t="n"/>
      <c r="M125" s="60" t="n"/>
      <c r="N125" s="60" t="n"/>
      <c r="O125" s="60" t="n"/>
      <c r="P125" s="61" t="n"/>
      <c r="Q125" s="60" t="n"/>
      <c r="R125" s="60" t="n"/>
      <c r="S125" s="60" t="n"/>
      <c r="T125" s="61" t="n"/>
      <c r="U125" s="61" t="n"/>
      <c r="V125" s="60" t="n"/>
      <c r="W125" s="60" t="n"/>
      <c r="X125" s="60" t="n"/>
      <c r="Y125" s="60" t="n"/>
      <c r="Z125" s="61" t="n"/>
      <c r="AA125" s="60" t="n"/>
      <c r="AB125" s="60" t="n"/>
      <c r="AC125" s="60" t="n"/>
      <c r="AD125" s="60" t="n"/>
      <c r="AE125" s="63">
        <f>IF($G125="","",TODAY()-$G125)</f>
        <v/>
      </c>
      <c r="AF125" s="63">
        <f>IF($A125="","",IF($M125&gt;0,"Yes","No"))</f>
        <v/>
      </c>
      <c r="AG125" s="63">
        <f>IF($A125="","",IF(AND($E125="Yes",OR($AA125="No",$AA125="NOT FOUND")),"YES",""))</f>
        <v/>
      </c>
      <c r="AH125" s="66">
        <f>IF($A125="","",TRIM(IF(AND($Y125=0,$I125&lt;&gt;"Yes"),"T0-NoPhishResistant ","")&amp;IF($H125="No","NoMFA ","")&amp;IF(AND($Y125=0,$M125&gt;0),"T0-Standing ","")&amp;IF(AND($Y125=0,$S125="Group only"),"T0-ViaGroupOnly ","")&amp;IF($R125="Yes","BroadAzureScope ","")&amp;IF(AND($E125="Yes",$G125=""),"NeverSignedIn ","")))</f>
        <v/>
      </c>
      <c r="AI125" s="60" t="n"/>
      <c r="AJ125" s="61" t="n"/>
      <c r="AK125" s="60" t="n"/>
      <c r="AL125" s="62" t="n"/>
      <c r="AM125" s="62" t="n"/>
      <c r="AN125" s="62" t="n"/>
      <c r="AO125" s="60" t="n"/>
      <c r="AP125" s="61" t="n"/>
      <c r="AQ125" s="63">
        <f>IF($A125="","",IF(AM125="","Not Enrolled",IF(TODAY()&gt;AM125,"Review Overdue",IF(AM125-TODAY()&lt;=30,"Review Due Soon","Active"))))</f>
        <v/>
      </c>
      <c r="AR125" s="63">
        <f>IF($A125="","",IF(AN125="","NOT REVIEWED",IF(TODAY()-AN125&gt;90,"OVERDUE",IF(TODAY()-AN125&gt;76,"Due Soon","Current"))))</f>
        <v/>
      </c>
    </row>
    <row r="126" ht="15" customHeight="1" s="39">
      <c r="A126" s="61" t="n"/>
      <c r="B126" s="60" t="n"/>
      <c r="C126" s="61" t="n"/>
      <c r="D126" s="60" t="n"/>
      <c r="E126" s="60" t="n"/>
      <c r="F126" s="62" t="n"/>
      <c r="G126" s="62" t="n"/>
      <c r="H126" s="60" t="n"/>
      <c r="I126" s="60" t="n"/>
      <c r="J126" s="61" t="n"/>
      <c r="K126" s="61" t="n"/>
      <c r="L126" s="61" t="n"/>
      <c r="M126" s="60" t="n"/>
      <c r="N126" s="60" t="n"/>
      <c r="O126" s="60" t="n"/>
      <c r="P126" s="61" t="n"/>
      <c r="Q126" s="60" t="n"/>
      <c r="R126" s="60" t="n"/>
      <c r="S126" s="60" t="n"/>
      <c r="T126" s="61" t="n"/>
      <c r="U126" s="61" t="n"/>
      <c r="V126" s="60" t="n"/>
      <c r="W126" s="60" t="n"/>
      <c r="X126" s="60" t="n"/>
      <c r="Y126" s="60" t="n"/>
      <c r="Z126" s="61" t="n"/>
      <c r="AA126" s="60" t="n"/>
      <c r="AB126" s="60" t="n"/>
      <c r="AC126" s="60" t="n"/>
      <c r="AD126" s="60" t="n"/>
      <c r="AE126" s="63">
        <f>IF($G126="","",TODAY()-$G126)</f>
        <v/>
      </c>
      <c r="AF126" s="63">
        <f>IF($A126="","",IF($M126&gt;0,"Yes","No"))</f>
        <v/>
      </c>
      <c r="AG126" s="63">
        <f>IF($A126="","",IF(AND($E126="Yes",OR($AA126="No",$AA126="NOT FOUND")),"YES",""))</f>
        <v/>
      </c>
      <c r="AH126" s="66">
        <f>IF($A126="","",TRIM(IF(AND($Y126=0,$I126&lt;&gt;"Yes"),"T0-NoPhishResistant ","")&amp;IF($H126="No","NoMFA ","")&amp;IF(AND($Y126=0,$M126&gt;0),"T0-Standing ","")&amp;IF(AND($Y126=0,$S126="Group only"),"T0-ViaGroupOnly ","")&amp;IF($R126="Yes","BroadAzureScope ","")&amp;IF(AND($E126="Yes",$G126=""),"NeverSignedIn ","")))</f>
        <v/>
      </c>
      <c r="AI126" s="60" t="n"/>
      <c r="AJ126" s="61" t="n"/>
      <c r="AK126" s="60" t="n"/>
      <c r="AL126" s="62" t="n"/>
      <c r="AM126" s="62" t="n"/>
      <c r="AN126" s="62" t="n"/>
      <c r="AO126" s="60" t="n"/>
      <c r="AP126" s="61" t="n"/>
      <c r="AQ126" s="63">
        <f>IF($A126="","",IF(AM126="","Not Enrolled",IF(TODAY()&gt;AM126,"Review Overdue",IF(AM126-TODAY()&lt;=30,"Review Due Soon","Active"))))</f>
        <v/>
      </c>
      <c r="AR126" s="63">
        <f>IF($A126="","",IF(AN126="","NOT REVIEWED",IF(TODAY()-AN126&gt;90,"OVERDUE",IF(TODAY()-AN126&gt;76,"Due Soon","Current"))))</f>
        <v/>
      </c>
    </row>
    <row r="127" ht="15" customHeight="1" s="39">
      <c r="A127" s="61" t="n"/>
      <c r="B127" s="60" t="n"/>
      <c r="C127" s="61" t="n"/>
      <c r="D127" s="60" t="n"/>
      <c r="E127" s="60" t="n"/>
      <c r="F127" s="62" t="n"/>
      <c r="G127" s="62" t="n"/>
      <c r="H127" s="60" t="n"/>
      <c r="I127" s="60" t="n"/>
      <c r="J127" s="61" t="n"/>
      <c r="K127" s="61" t="n"/>
      <c r="L127" s="61" t="n"/>
      <c r="M127" s="60" t="n"/>
      <c r="N127" s="60" t="n"/>
      <c r="O127" s="60" t="n"/>
      <c r="P127" s="61" t="n"/>
      <c r="Q127" s="60" t="n"/>
      <c r="R127" s="60" t="n"/>
      <c r="S127" s="60" t="n"/>
      <c r="T127" s="61" t="n"/>
      <c r="U127" s="61" t="n"/>
      <c r="V127" s="60" t="n"/>
      <c r="W127" s="60" t="n"/>
      <c r="X127" s="60" t="n"/>
      <c r="Y127" s="60" t="n"/>
      <c r="Z127" s="61" t="n"/>
      <c r="AA127" s="60" t="n"/>
      <c r="AB127" s="60" t="n"/>
      <c r="AC127" s="60" t="n"/>
      <c r="AD127" s="60" t="n"/>
      <c r="AE127" s="63">
        <f>IF($G127="","",TODAY()-$G127)</f>
        <v/>
      </c>
      <c r="AF127" s="63">
        <f>IF($A127="","",IF($M127&gt;0,"Yes","No"))</f>
        <v/>
      </c>
      <c r="AG127" s="63">
        <f>IF($A127="","",IF(AND($E127="Yes",OR($AA127="No",$AA127="NOT FOUND")),"YES",""))</f>
        <v/>
      </c>
      <c r="AH127" s="66">
        <f>IF($A127="","",TRIM(IF(AND($Y127=0,$I127&lt;&gt;"Yes"),"T0-NoPhishResistant ","")&amp;IF($H127="No","NoMFA ","")&amp;IF(AND($Y127=0,$M127&gt;0),"T0-Standing ","")&amp;IF(AND($Y127=0,$S127="Group only"),"T0-ViaGroupOnly ","")&amp;IF($R127="Yes","BroadAzureScope ","")&amp;IF(AND($E127="Yes",$G127=""),"NeverSignedIn ","")))</f>
        <v/>
      </c>
      <c r="AI127" s="60" t="n"/>
      <c r="AJ127" s="61" t="n"/>
      <c r="AK127" s="60" t="n"/>
      <c r="AL127" s="62" t="n"/>
      <c r="AM127" s="62" t="n"/>
      <c r="AN127" s="62" t="n"/>
      <c r="AO127" s="60" t="n"/>
      <c r="AP127" s="61" t="n"/>
      <c r="AQ127" s="63">
        <f>IF($A127="","",IF(AM127="","Not Enrolled",IF(TODAY()&gt;AM127,"Review Overdue",IF(AM127-TODAY()&lt;=30,"Review Due Soon","Active"))))</f>
        <v/>
      </c>
      <c r="AR127" s="63">
        <f>IF($A127="","",IF(AN127="","NOT REVIEWED",IF(TODAY()-AN127&gt;90,"OVERDUE",IF(TODAY()-AN127&gt;76,"Due Soon","Current"))))</f>
        <v/>
      </c>
    </row>
    <row r="128" ht="15" customHeight="1" s="39">
      <c r="A128" s="61" t="n"/>
      <c r="B128" s="60" t="n"/>
      <c r="C128" s="61" t="n"/>
      <c r="D128" s="60" t="n"/>
      <c r="E128" s="60" t="n"/>
      <c r="F128" s="62" t="n"/>
      <c r="G128" s="62" t="n"/>
      <c r="H128" s="60" t="n"/>
      <c r="I128" s="60" t="n"/>
      <c r="J128" s="61" t="n"/>
      <c r="K128" s="61" t="n"/>
      <c r="L128" s="61" t="n"/>
      <c r="M128" s="60" t="n"/>
      <c r="N128" s="60" t="n"/>
      <c r="O128" s="60" t="n"/>
      <c r="P128" s="61" t="n"/>
      <c r="Q128" s="60" t="n"/>
      <c r="R128" s="60" t="n"/>
      <c r="S128" s="60" t="n"/>
      <c r="T128" s="61" t="n"/>
      <c r="U128" s="61" t="n"/>
      <c r="V128" s="60" t="n"/>
      <c r="W128" s="60" t="n"/>
      <c r="X128" s="60" t="n"/>
      <c r="Y128" s="60" t="n"/>
      <c r="Z128" s="61" t="n"/>
      <c r="AA128" s="60" t="n"/>
      <c r="AB128" s="60" t="n"/>
      <c r="AC128" s="60" t="n"/>
      <c r="AD128" s="60" t="n"/>
      <c r="AE128" s="63">
        <f>IF($G128="","",TODAY()-$G128)</f>
        <v/>
      </c>
      <c r="AF128" s="63">
        <f>IF($A128="","",IF($M128&gt;0,"Yes","No"))</f>
        <v/>
      </c>
      <c r="AG128" s="63">
        <f>IF($A128="","",IF(AND($E128="Yes",OR($AA128="No",$AA128="NOT FOUND")),"YES",""))</f>
        <v/>
      </c>
      <c r="AH128" s="66">
        <f>IF($A128="","",TRIM(IF(AND($Y128=0,$I128&lt;&gt;"Yes"),"T0-NoPhishResistant ","")&amp;IF($H128="No","NoMFA ","")&amp;IF(AND($Y128=0,$M128&gt;0),"T0-Standing ","")&amp;IF(AND($Y128=0,$S128="Group only"),"T0-ViaGroupOnly ","")&amp;IF($R128="Yes","BroadAzureScope ","")&amp;IF(AND($E128="Yes",$G128=""),"NeverSignedIn ","")))</f>
        <v/>
      </c>
      <c r="AI128" s="60" t="n"/>
      <c r="AJ128" s="61" t="n"/>
      <c r="AK128" s="60" t="n"/>
      <c r="AL128" s="62" t="n"/>
      <c r="AM128" s="62" t="n"/>
      <c r="AN128" s="62" t="n"/>
      <c r="AO128" s="60" t="n"/>
      <c r="AP128" s="61" t="n"/>
      <c r="AQ128" s="63">
        <f>IF($A128="","",IF(AM128="","Not Enrolled",IF(TODAY()&gt;AM128,"Review Overdue",IF(AM128-TODAY()&lt;=30,"Review Due Soon","Active"))))</f>
        <v/>
      </c>
      <c r="AR128" s="63">
        <f>IF($A128="","",IF(AN128="","NOT REVIEWED",IF(TODAY()-AN128&gt;90,"OVERDUE",IF(TODAY()-AN128&gt;76,"Due Soon","Current"))))</f>
        <v/>
      </c>
    </row>
    <row r="129" ht="15" customHeight="1" s="39">
      <c r="A129" s="61" t="n"/>
      <c r="B129" s="60" t="n"/>
      <c r="C129" s="61" t="n"/>
      <c r="D129" s="60" t="n"/>
      <c r="E129" s="60" t="n"/>
      <c r="F129" s="62" t="n"/>
      <c r="G129" s="62" t="n"/>
      <c r="H129" s="60" t="n"/>
      <c r="I129" s="60" t="n"/>
      <c r="J129" s="61" t="n"/>
      <c r="K129" s="61" t="n"/>
      <c r="L129" s="61" t="n"/>
      <c r="M129" s="60" t="n"/>
      <c r="N129" s="60" t="n"/>
      <c r="O129" s="60" t="n"/>
      <c r="P129" s="61" t="n"/>
      <c r="Q129" s="60" t="n"/>
      <c r="R129" s="60" t="n"/>
      <c r="S129" s="60" t="n"/>
      <c r="T129" s="61" t="n"/>
      <c r="U129" s="61" t="n"/>
      <c r="V129" s="60" t="n"/>
      <c r="W129" s="60" t="n"/>
      <c r="X129" s="60" t="n"/>
      <c r="Y129" s="60" t="n"/>
      <c r="Z129" s="61" t="n"/>
      <c r="AA129" s="60" t="n"/>
      <c r="AB129" s="60" t="n"/>
      <c r="AC129" s="60" t="n"/>
      <c r="AD129" s="60" t="n"/>
      <c r="AE129" s="63">
        <f>IF($G129="","",TODAY()-$G129)</f>
        <v/>
      </c>
      <c r="AF129" s="63">
        <f>IF($A129="","",IF($M129&gt;0,"Yes","No"))</f>
        <v/>
      </c>
      <c r="AG129" s="63">
        <f>IF($A129="","",IF(AND($E129="Yes",OR($AA129="No",$AA129="NOT FOUND")),"YES",""))</f>
        <v/>
      </c>
      <c r="AH129" s="66">
        <f>IF($A129="","",TRIM(IF(AND($Y129=0,$I129&lt;&gt;"Yes"),"T0-NoPhishResistant ","")&amp;IF($H129="No","NoMFA ","")&amp;IF(AND($Y129=0,$M129&gt;0),"T0-Standing ","")&amp;IF(AND($Y129=0,$S129="Group only"),"T0-ViaGroupOnly ","")&amp;IF($R129="Yes","BroadAzureScope ","")&amp;IF(AND($E129="Yes",$G129=""),"NeverSignedIn ","")))</f>
        <v/>
      </c>
      <c r="AI129" s="60" t="n"/>
      <c r="AJ129" s="61" t="n"/>
      <c r="AK129" s="60" t="n"/>
      <c r="AL129" s="62" t="n"/>
      <c r="AM129" s="62" t="n"/>
      <c r="AN129" s="62" t="n"/>
      <c r="AO129" s="60" t="n"/>
      <c r="AP129" s="61" t="n"/>
      <c r="AQ129" s="63">
        <f>IF($A129="","",IF(AM129="","Not Enrolled",IF(TODAY()&gt;AM129,"Review Overdue",IF(AM129-TODAY()&lt;=30,"Review Due Soon","Active"))))</f>
        <v/>
      </c>
      <c r="AR129" s="63">
        <f>IF($A129="","",IF(AN129="","NOT REVIEWED",IF(TODAY()-AN129&gt;90,"OVERDUE",IF(TODAY()-AN129&gt;76,"Due Soon","Current"))))</f>
        <v/>
      </c>
    </row>
    <row r="130" ht="15" customHeight="1" s="39">
      <c r="A130" s="61" t="n"/>
      <c r="B130" s="60" t="n"/>
      <c r="C130" s="61" t="n"/>
      <c r="D130" s="60" t="n"/>
      <c r="E130" s="60" t="n"/>
      <c r="F130" s="62" t="n"/>
      <c r="G130" s="62" t="n"/>
      <c r="H130" s="60" t="n"/>
      <c r="I130" s="60" t="n"/>
      <c r="J130" s="61" t="n"/>
      <c r="K130" s="61" t="n"/>
      <c r="L130" s="61" t="n"/>
      <c r="M130" s="60" t="n"/>
      <c r="N130" s="60" t="n"/>
      <c r="O130" s="60" t="n"/>
      <c r="P130" s="61" t="n"/>
      <c r="Q130" s="60" t="n"/>
      <c r="R130" s="60" t="n"/>
      <c r="S130" s="60" t="n"/>
      <c r="T130" s="61" t="n"/>
      <c r="U130" s="61" t="n"/>
      <c r="V130" s="60" t="n"/>
      <c r="W130" s="60" t="n"/>
      <c r="X130" s="60" t="n"/>
      <c r="Y130" s="60" t="n"/>
      <c r="Z130" s="61" t="n"/>
      <c r="AA130" s="60" t="n"/>
      <c r="AB130" s="60" t="n"/>
      <c r="AC130" s="60" t="n"/>
      <c r="AD130" s="60" t="n"/>
      <c r="AE130" s="63">
        <f>IF($G130="","",TODAY()-$G130)</f>
        <v/>
      </c>
      <c r="AF130" s="63">
        <f>IF($A130="","",IF($M130&gt;0,"Yes","No"))</f>
        <v/>
      </c>
      <c r="AG130" s="63">
        <f>IF($A130="","",IF(AND($E130="Yes",OR($AA130="No",$AA130="NOT FOUND")),"YES",""))</f>
        <v/>
      </c>
      <c r="AH130" s="66">
        <f>IF($A130="","",TRIM(IF(AND($Y130=0,$I130&lt;&gt;"Yes"),"T0-NoPhishResistant ","")&amp;IF($H130="No","NoMFA ","")&amp;IF(AND($Y130=0,$M130&gt;0),"T0-Standing ","")&amp;IF(AND($Y130=0,$S130="Group only"),"T0-ViaGroupOnly ","")&amp;IF($R130="Yes","BroadAzureScope ","")&amp;IF(AND($E130="Yes",$G130=""),"NeverSignedIn ","")))</f>
        <v/>
      </c>
      <c r="AI130" s="60" t="n"/>
      <c r="AJ130" s="61" t="n"/>
      <c r="AK130" s="60" t="n"/>
      <c r="AL130" s="62" t="n"/>
      <c r="AM130" s="62" t="n"/>
      <c r="AN130" s="62" t="n"/>
      <c r="AO130" s="60" t="n"/>
      <c r="AP130" s="61" t="n"/>
      <c r="AQ130" s="63">
        <f>IF($A130="","",IF(AM130="","Not Enrolled",IF(TODAY()&gt;AM130,"Review Overdue",IF(AM130-TODAY()&lt;=30,"Review Due Soon","Active"))))</f>
        <v/>
      </c>
      <c r="AR130" s="63">
        <f>IF($A130="","",IF(AN130="","NOT REVIEWED",IF(TODAY()-AN130&gt;90,"OVERDUE",IF(TODAY()-AN130&gt;76,"Due Soon","Current"))))</f>
        <v/>
      </c>
    </row>
    <row r="131" ht="15" customHeight="1" s="39">
      <c r="A131" s="61" t="n"/>
      <c r="B131" s="60" t="n"/>
      <c r="C131" s="61" t="n"/>
      <c r="D131" s="60" t="n"/>
      <c r="E131" s="60" t="n"/>
      <c r="F131" s="62" t="n"/>
      <c r="G131" s="62" t="n"/>
      <c r="H131" s="60" t="n"/>
      <c r="I131" s="60" t="n"/>
      <c r="J131" s="61" t="n"/>
      <c r="K131" s="61" t="n"/>
      <c r="L131" s="61" t="n"/>
      <c r="M131" s="60" t="n"/>
      <c r="N131" s="60" t="n"/>
      <c r="O131" s="60" t="n"/>
      <c r="P131" s="61" t="n"/>
      <c r="Q131" s="60" t="n"/>
      <c r="R131" s="60" t="n"/>
      <c r="S131" s="60" t="n"/>
      <c r="T131" s="61" t="n"/>
      <c r="U131" s="61" t="n"/>
      <c r="V131" s="60" t="n"/>
      <c r="W131" s="60" t="n"/>
      <c r="X131" s="60" t="n"/>
      <c r="Y131" s="60" t="n"/>
      <c r="Z131" s="61" t="n"/>
      <c r="AA131" s="60" t="n"/>
      <c r="AB131" s="60" t="n"/>
      <c r="AC131" s="60" t="n"/>
      <c r="AD131" s="60" t="n"/>
      <c r="AE131" s="63">
        <f>IF($G131="","",TODAY()-$G131)</f>
        <v/>
      </c>
      <c r="AF131" s="63">
        <f>IF($A131="","",IF($M131&gt;0,"Yes","No"))</f>
        <v/>
      </c>
      <c r="AG131" s="63">
        <f>IF($A131="","",IF(AND($E131="Yes",OR($AA131="No",$AA131="NOT FOUND")),"YES",""))</f>
        <v/>
      </c>
      <c r="AH131" s="66">
        <f>IF($A131="","",TRIM(IF(AND($Y131=0,$I131&lt;&gt;"Yes"),"T0-NoPhishResistant ","")&amp;IF($H131="No","NoMFA ","")&amp;IF(AND($Y131=0,$M131&gt;0),"T0-Standing ","")&amp;IF(AND($Y131=0,$S131="Group only"),"T0-ViaGroupOnly ","")&amp;IF($R131="Yes","BroadAzureScope ","")&amp;IF(AND($E131="Yes",$G131=""),"NeverSignedIn ","")))</f>
        <v/>
      </c>
      <c r="AI131" s="60" t="n"/>
      <c r="AJ131" s="61" t="n"/>
      <c r="AK131" s="60" t="n"/>
      <c r="AL131" s="62" t="n"/>
      <c r="AM131" s="62" t="n"/>
      <c r="AN131" s="62" t="n"/>
      <c r="AO131" s="60" t="n"/>
      <c r="AP131" s="61" t="n"/>
      <c r="AQ131" s="63">
        <f>IF($A131="","",IF(AM131="","Not Enrolled",IF(TODAY()&gt;AM131,"Review Overdue",IF(AM131-TODAY()&lt;=30,"Review Due Soon","Active"))))</f>
        <v/>
      </c>
      <c r="AR131" s="63">
        <f>IF($A131="","",IF(AN131="","NOT REVIEWED",IF(TODAY()-AN131&gt;90,"OVERDUE",IF(TODAY()-AN131&gt;76,"Due Soon","Current"))))</f>
        <v/>
      </c>
    </row>
    <row r="132" ht="15" customHeight="1" s="39">
      <c r="A132" s="61" t="n"/>
      <c r="B132" s="60" t="n"/>
      <c r="C132" s="61" t="n"/>
      <c r="D132" s="60" t="n"/>
      <c r="E132" s="60" t="n"/>
      <c r="F132" s="62" t="n"/>
      <c r="G132" s="62" t="n"/>
      <c r="H132" s="60" t="n"/>
      <c r="I132" s="60" t="n"/>
      <c r="J132" s="61" t="n"/>
      <c r="K132" s="61" t="n"/>
      <c r="L132" s="61" t="n"/>
      <c r="M132" s="60" t="n"/>
      <c r="N132" s="60" t="n"/>
      <c r="O132" s="60" t="n"/>
      <c r="P132" s="61" t="n"/>
      <c r="Q132" s="60" t="n"/>
      <c r="R132" s="60" t="n"/>
      <c r="S132" s="60" t="n"/>
      <c r="T132" s="61" t="n"/>
      <c r="U132" s="61" t="n"/>
      <c r="V132" s="60" t="n"/>
      <c r="W132" s="60" t="n"/>
      <c r="X132" s="60" t="n"/>
      <c r="Y132" s="60" t="n"/>
      <c r="Z132" s="61" t="n"/>
      <c r="AA132" s="60" t="n"/>
      <c r="AB132" s="60" t="n"/>
      <c r="AC132" s="60" t="n"/>
      <c r="AD132" s="60" t="n"/>
      <c r="AE132" s="63">
        <f>IF($G132="","",TODAY()-$G132)</f>
        <v/>
      </c>
      <c r="AF132" s="63">
        <f>IF($A132="","",IF($M132&gt;0,"Yes","No"))</f>
        <v/>
      </c>
      <c r="AG132" s="63">
        <f>IF($A132="","",IF(AND($E132="Yes",OR($AA132="No",$AA132="NOT FOUND")),"YES",""))</f>
        <v/>
      </c>
      <c r="AH132" s="66">
        <f>IF($A132="","",TRIM(IF(AND($Y132=0,$I132&lt;&gt;"Yes"),"T0-NoPhishResistant ","")&amp;IF($H132="No","NoMFA ","")&amp;IF(AND($Y132=0,$M132&gt;0),"T0-Standing ","")&amp;IF(AND($Y132=0,$S132="Group only"),"T0-ViaGroupOnly ","")&amp;IF($R132="Yes","BroadAzureScope ","")&amp;IF(AND($E132="Yes",$G132=""),"NeverSignedIn ","")))</f>
        <v/>
      </c>
      <c r="AI132" s="60" t="n"/>
      <c r="AJ132" s="61" t="n"/>
      <c r="AK132" s="60" t="n"/>
      <c r="AL132" s="62" t="n"/>
      <c r="AM132" s="62" t="n"/>
      <c r="AN132" s="62" t="n"/>
      <c r="AO132" s="60" t="n"/>
      <c r="AP132" s="61" t="n"/>
      <c r="AQ132" s="63">
        <f>IF($A132="","",IF(AM132="","Not Enrolled",IF(TODAY()&gt;AM132,"Review Overdue",IF(AM132-TODAY()&lt;=30,"Review Due Soon","Active"))))</f>
        <v/>
      </c>
      <c r="AR132" s="63">
        <f>IF($A132="","",IF(AN132="","NOT REVIEWED",IF(TODAY()-AN132&gt;90,"OVERDUE",IF(TODAY()-AN132&gt;76,"Due Soon","Current"))))</f>
        <v/>
      </c>
    </row>
    <row r="133" ht="15" customHeight="1" s="39">
      <c r="A133" s="61" t="n"/>
      <c r="B133" s="60" t="n"/>
      <c r="C133" s="61" t="n"/>
      <c r="D133" s="60" t="n"/>
      <c r="E133" s="60" t="n"/>
      <c r="F133" s="62" t="n"/>
      <c r="G133" s="62" t="n"/>
      <c r="H133" s="60" t="n"/>
      <c r="I133" s="60" t="n"/>
      <c r="J133" s="61" t="n"/>
      <c r="K133" s="61" t="n"/>
      <c r="L133" s="61" t="n"/>
      <c r="M133" s="60" t="n"/>
      <c r="N133" s="60" t="n"/>
      <c r="O133" s="60" t="n"/>
      <c r="P133" s="61" t="n"/>
      <c r="Q133" s="60" t="n"/>
      <c r="R133" s="60" t="n"/>
      <c r="S133" s="60" t="n"/>
      <c r="T133" s="61" t="n"/>
      <c r="U133" s="61" t="n"/>
      <c r="V133" s="60" t="n"/>
      <c r="W133" s="60" t="n"/>
      <c r="X133" s="60" t="n"/>
      <c r="Y133" s="60" t="n"/>
      <c r="Z133" s="61" t="n"/>
      <c r="AA133" s="60" t="n"/>
      <c r="AB133" s="60" t="n"/>
      <c r="AC133" s="60" t="n"/>
      <c r="AD133" s="60" t="n"/>
      <c r="AE133" s="63">
        <f>IF($G133="","",TODAY()-$G133)</f>
        <v/>
      </c>
      <c r="AF133" s="63">
        <f>IF($A133="","",IF($M133&gt;0,"Yes","No"))</f>
        <v/>
      </c>
      <c r="AG133" s="63">
        <f>IF($A133="","",IF(AND($E133="Yes",OR($AA133="No",$AA133="NOT FOUND")),"YES",""))</f>
        <v/>
      </c>
      <c r="AH133" s="66">
        <f>IF($A133="","",TRIM(IF(AND($Y133=0,$I133&lt;&gt;"Yes"),"T0-NoPhishResistant ","")&amp;IF($H133="No","NoMFA ","")&amp;IF(AND($Y133=0,$M133&gt;0),"T0-Standing ","")&amp;IF(AND($Y133=0,$S133="Group only"),"T0-ViaGroupOnly ","")&amp;IF($R133="Yes","BroadAzureScope ","")&amp;IF(AND($E133="Yes",$G133=""),"NeverSignedIn ","")))</f>
        <v/>
      </c>
      <c r="AI133" s="60" t="n"/>
      <c r="AJ133" s="61" t="n"/>
      <c r="AK133" s="60" t="n"/>
      <c r="AL133" s="62" t="n"/>
      <c r="AM133" s="62" t="n"/>
      <c r="AN133" s="62" t="n"/>
      <c r="AO133" s="60" t="n"/>
      <c r="AP133" s="61" t="n"/>
      <c r="AQ133" s="63">
        <f>IF($A133="","",IF(AM133="","Not Enrolled",IF(TODAY()&gt;AM133,"Review Overdue",IF(AM133-TODAY()&lt;=30,"Review Due Soon","Active"))))</f>
        <v/>
      </c>
      <c r="AR133" s="63">
        <f>IF($A133="","",IF(AN133="","NOT REVIEWED",IF(TODAY()-AN133&gt;90,"OVERDUE",IF(TODAY()-AN133&gt;76,"Due Soon","Current"))))</f>
        <v/>
      </c>
    </row>
    <row r="134" ht="15" customHeight="1" s="39">
      <c r="A134" s="61" t="n"/>
      <c r="B134" s="60" t="n"/>
      <c r="C134" s="61" t="n"/>
      <c r="D134" s="60" t="n"/>
      <c r="E134" s="60" t="n"/>
      <c r="F134" s="62" t="n"/>
      <c r="G134" s="62" t="n"/>
      <c r="H134" s="60" t="n"/>
      <c r="I134" s="60" t="n"/>
      <c r="J134" s="61" t="n"/>
      <c r="K134" s="61" t="n"/>
      <c r="L134" s="61" t="n"/>
      <c r="M134" s="60" t="n"/>
      <c r="N134" s="60" t="n"/>
      <c r="O134" s="60" t="n"/>
      <c r="P134" s="61" t="n"/>
      <c r="Q134" s="60" t="n"/>
      <c r="R134" s="60" t="n"/>
      <c r="S134" s="60" t="n"/>
      <c r="T134" s="61" t="n"/>
      <c r="U134" s="61" t="n"/>
      <c r="V134" s="60" t="n"/>
      <c r="W134" s="60" t="n"/>
      <c r="X134" s="60" t="n"/>
      <c r="Y134" s="60" t="n"/>
      <c r="Z134" s="61" t="n"/>
      <c r="AA134" s="60" t="n"/>
      <c r="AB134" s="60" t="n"/>
      <c r="AC134" s="60" t="n"/>
      <c r="AD134" s="60" t="n"/>
      <c r="AE134" s="63">
        <f>IF($G134="","",TODAY()-$G134)</f>
        <v/>
      </c>
      <c r="AF134" s="63">
        <f>IF($A134="","",IF($M134&gt;0,"Yes","No"))</f>
        <v/>
      </c>
      <c r="AG134" s="63">
        <f>IF($A134="","",IF(AND($E134="Yes",OR($AA134="No",$AA134="NOT FOUND")),"YES",""))</f>
        <v/>
      </c>
      <c r="AH134" s="66">
        <f>IF($A134="","",TRIM(IF(AND($Y134=0,$I134&lt;&gt;"Yes"),"T0-NoPhishResistant ","")&amp;IF($H134="No","NoMFA ","")&amp;IF(AND($Y134=0,$M134&gt;0),"T0-Standing ","")&amp;IF(AND($Y134=0,$S134="Group only"),"T0-ViaGroupOnly ","")&amp;IF($R134="Yes","BroadAzureScope ","")&amp;IF(AND($E134="Yes",$G134=""),"NeverSignedIn ","")))</f>
        <v/>
      </c>
      <c r="AI134" s="60" t="n"/>
      <c r="AJ134" s="61" t="n"/>
      <c r="AK134" s="60" t="n"/>
      <c r="AL134" s="62" t="n"/>
      <c r="AM134" s="62" t="n"/>
      <c r="AN134" s="62" t="n"/>
      <c r="AO134" s="60" t="n"/>
      <c r="AP134" s="61" t="n"/>
      <c r="AQ134" s="63">
        <f>IF($A134="","",IF(AM134="","Not Enrolled",IF(TODAY()&gt;AM134,"Review Overdue",IF(AM134-TODAY()&lt;=30,"Review Due Soon","Active"))))</f>
        <v/>
      </c>
      <c r="AR134" s="63">
        <f>IF($A134="","",IF(AN134="","NOT REVIEWED",IF(TODAY()-AN134&gt;90,"OVERDUE",IF(TODAY()-AN134&gt;76,"Due Soon","Current"))))</f>
        <v/>
      </c>
    </row>
    <row r="135" ht="15" customHeight="1" s="39">
      <c r="A135" s="61" t="n"/>
      <c r="B135" s="60" t="n"/>
      <c r="C135" s="61" t="n"/>
      <c r="D135" s="60" t="n"/>
      <c r="E135" s="60" t="n"/>
      <c r="F135" s="62" t="n"/>
      <c r="G135" s="62" t="n"/>
      <c r="H135" s="60" t="n"/>
      <c r="I135" s="60" t="n"/>
      <c r="J135" s="61" t="n"/>
      <c r="K135" s="61" t="n"/>
      <c r="L135" s="61" t="n"/>
      <c r="M135" s="60" t="n"/>
      <c r="N135" s="60" t="n"/>
      <c r="O135" s="60" t="n"/>
      <c r="P135" s="61" t="n"/>
      <c r="Q135" s="60" t="n"/>
      <c r="R135" s="60" t="n"/>
      <c r="S135" s="60" t="n"/>
      <c r="T135" s="61" t="n"/>
      <c r="U135" s="61" t="n"/>
      <c r="V135" s="60" t="n"/>
      <c r="W135" s="60" t="n"/>
      <c r="X135" s="60" t="n"/>
      <c r="Y135" s="60" t="n"/>
      <c r="Z135" s="61" t="n"/>
      <c r="AA135" s="60" t="n"/>
      <c r="AB135" s="60" t="n"/>
      <c r="AC135" s="60" t="n"/>
      <c r="AD135" s="60" t="n"/>
      <c r="AE135" s="63">
        <f>IF($G135="","",TODAY()-$G135)</f>
        <v/>
      </c>
      <c r="AF135" s="63">
        <f>IF($A135="","",IF($M135&gt;0,"Yes","No"))</f>
        <v/>
      </c>
      <c r="AG135" s="63">
        <f>IF($A135="","",IF(AND($E135="Yes",OR($AA135="No",$AA135="NOT FOUND")),"YES",""))</f>
        <v/>
      </c>
      <c r="AH135" s="66">
        <f>IF($A135="","",TRIM(IF(AND($Y135=0,$I135&lt;&gt;"Yes"),"T0-NoPhishResistant ","")&amp;IF($H135="No","NoMFA ","")&amp;IF(AND($Y135=0,$M135&gt;0),"T0-Standing ","")&amp;IF(AND($Y135=0,$S135="Group only"),"T0-ViaGroupOnly ","")&amp;IF($R135="Yes","BroadAzureScope ","")&amp;IF(AND($E135="Yes",$G135=""),"NeverSignedIn ","")))</f>
        <v/>
      </c>
      <c r="AI135" s="60" t="n"/>
      <c r="AJ135" s="61" t="n"/>
      <c r="AK135" s="60" t="n"/>
      <c r="AL135" s="62" t="n"/>
      <c r="AM135" s="62" t="n"/>
      <c r="AN135" s="62" t="n"/>
      <c r="AO135" s="60" t="n"/>
      <c r="AP135" s="61" t="n"/>
      <c r="AQ135" s="63">
        <f>IF($A135="","",IF(AM135="","Not Enrolled",IF(TODAY()&gt;AM135,"Review Overdue",IF(AM135-TODAY()&lt;=30,"Review Due Soon","Active"))))</f>
        <v/>
      </c>
      <c r="AR135" s="63">
        <f>IF($A135="","",IF(AN135="","NOT REVIEWED",IF(TODAY()-AN135&gt;90,"OVERDUE",IF(TODAY()-AN135&gt;76,"Due Soon","Current"))))</f>
        <v/>
      </c>
    </row>
    <row r="136" ht="15" customHeight="1" s="39">
      <c r="A136" s="61" t="n"/>
      <c r="B136" s="60" t="n"/>
      <c r="C136" s="61" t="n"/>
      <c r="D136" s="60" t="n"/>
      <c r="E136" s="60" t="n"/>
      <c r="F136" s="62" t="n"/>
      <c r="G136" s="62" t="n"/>
      <c r="H136" s="60" t="n"/>
      <c r="I136" s="60" t="n"/>
      <c r="J136" s="61" t="n"/>
      <c r="K136" s="61" t="n"/>
      <c r="L136" s="61" t="n"/>
      <c r="M136" s="60" t="n"/>
      <c r="N136" s="60" t="n"/>
      <c r="O136" s="60" t="n"/>
      <c r="P136" s="61" t="n"/>
      <c r="Q136" s="60" t="n"/>
      <c r="R136" s="60" t="n"/>
      <c r="S136" s="60" t="n"/>
      <c r="T136" s="61" t="n"/>
      <c r="U136" s="61" t="n"/>
      <c r="V136" s="60" t="n"/>
      <c r="W136" s="60" t="n"/>
      <c r="X136" s="60" t="n"/>
      <c r="Y136" s="60" t="n"/>
      <c r="Z136" s="61" t="n"/>
      <c r="AA136" s="60" t="n"/>
      <c r="AB136" s="60" t="n"/>
      <c r="AC136" s="60" t="n"/>
      <c r="AD136" s="60" t="n"/>
      <c r="AE136" s="63">
        <f>IF($G136="","",TODAY()-$G136)</f>
        <v/>
      </c>
      <c r="AF136" s="63">
        <f>IF($A136="","",IF($M136&gt;0,"Yes","No"))</f>
        <v/>
      </c>
      <c r="AG136" s="63">
        <f>IF($A136="","",IF(AND($E136="Yes",OR($AA136="No",$AA136="NOT FOUND")),"YES",""))</f>
        <v/>
      </c>
      <c r="AH136" s="66">
        <f>IF($A136="","",TRIM(IF(AND($Y136=0,$I136&lt;&gt;"Yes"),"T0-NoPhishResistant ","")&amp;IF($H136="No","NoMFA ","")&amp;IF(AND($Y136=0,$M136&gt;0),"T0-Standing ","")&amp;IF(AND($Y136=0,$S136="Group only"),"T0-ViaGroupOnly ","")&amp;IF($R136="Yes","BroadAzureScope ","")&amp;IF(AND($E136="Yes",$G136=""),"NeverSignedIn ","")))</f>
        <v/>
      </c>
      <c r="AI136" s="60" t="n"/>
      <c r="AJ136" s="61" t="n"/>
      <c r="AK136" s="60" t="n"/>
      <c r="AL136" s="62" t="n"/>
      <c r="AM136" s="62" t="n"/>
      <c r="AN136" s="62" t="n"/>
      <c r="AO136" s="60" t="n"/>
      <c r="AP136" s="61" t="n"/>
      <c r="AQ136" s="63">
        <f>IF($A136="","",IF(AM136="","Not Enrolled",IF(TODAY()&gt;AM136,"Review Overdue",IF(AM136-TODAY()&lt;=30,"Review Due Soon","Active"))))</f>
        <v/>
      </c>
      <c r="AR136" s="63">
        <f>IF($A136="","",IF(AN136="","NOT REVIEWED",IF(TODAY()-AN136&gt;90,"OVERDUE",IF(TODAY()-AN136&gt;76,"Due Soon","Current"))))</f>
        <v/>
      </c>
    </row>
    <row r="137" ht="15" customHeight="1" s="39">
      <c r="A137" s="61" t="n"/>
      <c r="B137" s="60" t="n"/>
      <c r="C137" s="61" t="n"/>
      <c r="D137" s="60" t="n"/>
      <c r="E137" s="60" t="n"/>
      <c r="F137" s="62" t="n"/>
      <c r="G137" s="62" t="n"/>
      <c r="H137" s="60" t="n"/>
      <c r="I137" s="60" t="n"/>
      <c r="J137" s="61" t="n"/>
      <c r="K137" s="61" t="n"/>
      <c r="L137" s="61" t="n"/>
      <c r="M137" s="60" t="n"/>
      <c r="N137" s="60" t="n"/>
      <c r="O137" s="60" t="n"/>
      <c r="P137" s="61" t="n"/>
      <c r="Q137" s="60" t="n"/>
      <c r="R137" s="60" t="n"/>
      <c r="S137" s="60" t="n"/>
      <c r="T137" s="61" t="n"/>
      <c r="U137" s="61" t="n"/>
      <c r="V137" s="60" t="n"/>
      <c r="W137" s="60" t="n"/>
      <c r="X137" s="60" t="n"/>
      <c r="Y137" s="60" t="n"/>
      <c r="Z137" s="61" t="n"/>
      <c r="AA137" s="60" t="n"/>
      <c r="AB137" s="60" t="n"/>
      <c r="AC137" s="60" t="n"/>
      <c r="AD137" s="60" t="n"/>
      <c r="AE137" s="63">
        <f>IF($G137="","",TODAY()-$G137)</f>
        <v/>
      </c>
      <c r="AF137" s="63">
        <f>IF($A137="","",IF($M137&gt;0,"Yes","No"))</f>
        <v/>
      </c>
      <c r="AG137" s="63">
        <f>IF($A137="","",IF(AND($E137="Yes",OR($AA137="No",$AA137="NOT FOUND")),"YES",""))</f>
        <v/>
      </c>
      <c r="AH137" s="66">
        <f>IF($A137="","",TRIM(IF(AND($Y137=0,$I137&lt;&gt;"Yes"),"T0-NoPhishResistant ","")&amp;IF($H137="No","NoMFA ","")&amp;IF(AND($Y137=0,$M137&gt;0),"T0-Standing ","")&amp;IF(AND($Y137=0,$S137="Group only"),"T0-ViaGroupOnly ","")&amp;IF($R137="Yes","BroadAzureScope ","")&amp;IF(AND($E137="Yes",$G137=""),"NeverSignedIn ","")))</f>
        <v/>
      </c>
      <c r="AI137" s="60" t="n"/>
      <c r="AJ137" s="61" t="n"/>
      <c r="AK137" s="60" t="n"/>
      <c r="AL137" s="62" t="n"/>
      <c r="AM137" s="62" t="n"/>
      <c r="AN137" s="62" t="n"/>
      <c r="AO137" s="60" t="n"/>
      <c r="AP137" s="61" t="n"/>
      <c r="AQ137" s="63">
        <f>IF($A137="","",IF(AM137="","Not Enrolled",IF(TODAY()&gt;AM137,"Review Overdue",IF(AM137-TODAY()&lt;=30,"Review Due Soon","Active"))))</f>
        <v/>
      </c>
      <c r="AR137" s="63">
        <f>IF($A137="","",IF(AN137="","NOT REVIEWED",IF(TODAY()-AN137&gt;90,"OVERDUE",IF(TODAY()-AN137&gt;76,"Due Soon","Current"))))</f>
        <v/>
      </c>
    </row>
    <row r="138" ht="15" customHeight="1" s="39">
      <c r="A138" s="61" t="n"/>
      <c r="B138" s="60" t="n"/>
      <c r="C138" s="61" t="n"/>
      <c r="D138" s="60" t="n"/>
      <c r="E138" s="60" t="n"/>
      <c r="F138" s="62" t="n"/>
      <c r="G138" s="62" t="n"/>
      <c r="H138" s="60" t="n"/>
      <c r="I138" s="60" t="n"/>
      <c r="J138" s="61" t="n"/>
      <c r="K138" s="61" t="n"/>
      <c r="L138" s="61" t="n"/>
      <c r="M138" s="60" t="n"/>
      <c r="N138" s="60" t="n"/>
      <c r="O138" s="60" t="n"/>
      <c r="P138" s="61" t="n"/>
      <c r="Q138" s="60" t="n"/>
      <c r="R138" s="60" t="n"/>
      <c r="S138" s="60" t="n"/>
      <c r="T138" s="61" t="n"/>
      <c r="U138" s="61" t="n"/>
      <c r="V138" s="60" t="n"/>
      <c r="W138" s="60" t="n"/>
      <c r="X138" s="60" t="n"/>
      <c r="Y138" s="60" t="n"/>
      <c r="Z138" s="61" t="n"/>
      <c r="AA138" s="60" t="n"/>
      <c r="AB138" s="60" t="n"/>
      <c r="AC138" s="60" t="n"/>
      <c r="AD138" s="60" t="n"/>
      <c r="AE138" s="63">
        <f>IF($G138="","",TODAY()-$G138)</f>
        <v/>
      </c>
      <c r="AF138" s="63">
        <f>IF($A138="","",IF($M138&gt;0,"Yes","No"))</f>
        <v/>
      </c>
      <c r="AG138" s="63">
        <f>IF($A138="","",IF(AND($E138="Yes",OR($AA138="No",$AA138="NOT FOUND")),"YES",""))</f>
        <v/>
      </c>
      <c r="AH138" s="66">
        <f>IF($A138="","",TRIM(IF(AND($Y138=0,$I138&lt;&gt;"Yes"),"T0-NoPhishResistant ","")&amp;IF($H138="No","NoMFA ","")&amp;IF(AND($Y138=0,$M138&gt;0),"T0-Standing ","")&amp;IF(AND($Y138=0,$S138="Group only"),"T0-ViaGroupOnly ","")&amp;IF($R138="Yes","BroadAzureScope ","")&amp;IF(AND($E138="Yes",$G138=""),"NeverSignedIn ","")))</f>
        <v/>
      </c>
      <c r="AI138" s="60" t="n"/>
      <c r="AJ138" s="61" t="n"/>
      <c r="AK138" s="60" t="n"/>
      <c r="AL138" s="62" t="n"/>
      <c r="AM138" s="62" t="n"/>
      <c r="AN138" s="62" t="n"/>
      <c r="AO138" s="60" t="n"/>
      <c r="AP138" s="61" t="n"/>
      <c r="AQ138" s="63">
        <f>IF($A138="","",IF(AM138="","Not Enrolled",IF(TODAY()&gt;AM138,"Review Overdue",IF(AM138-TODAY()&lt;=30,"Review Due Soon","Active"))))</f>
        <v/>
      </c>
      <c r="AR138" s="63">
        <f>IF($A138="","",IF(AN138="","NOT REVIEWED",IF(TODAY()-AN138&gt;90,"OVERDUE",IF(TODAY()-AN138&gt;76,"Due Soon","Current"))))</f>
        <v/>
      </c>
    </row>
    <row r="139" ht="15" customHeight="1" s="39">
      <c r="A139" s="61" t="n"/>
      <c r="B139" s="60" t="n"/>
      <c r="C139" s="61" t="n"/>
      <c r="D139" s="60" t="n"/>
      <c r="E139" s="60" t="n"/>
      <c r="F139" s="62" t="n"/>
      <c r="G139" s="62" t="n"/>
      <c r="H139" s="60" t="n"/>
      <c r="I139" s="60" t="n"/>
      <c r="J139" s="61" t="n"/>
      <c r="K139" s="61" t="n"/>
      <c r="L139" s="61" t="n"/>
      <c r="M139" s="60" t="n"/>
      <c r="N139" s="60" t="n"/>
      <c r="O139" s="60" t="n"/>
      <c r="P139" s="61" t="n"/>
      <c r="Q139" s="60" t="n"/>
      <c r="R139" s="60" t="n"/>
      <c r="S139" s="60" t="n"/>
      <c r="T139" s="61" t="n"/>
      <c r="U139" s="61" t="n"/>
      <c r="V139" s="60" t="n"/>
      <c r="W139" s="60" t="n"/>
      <c r="X139" s="60" t="n"/>
      <c r="Y139" s="60" t="n"/>
      <c r="Z139" s="61" t="n"/>
      <c r="AA139" s="60" t="n"/>
      <c r="AB139" s="60" t="n"/>
      <c r="AC139" s="60" t="n"/>
      <c r="AD139" s="60" t="n"/>
      <c r="AE139" s="63">
        <f>IF($G139="","",TODAY()-$G139)</f>
        <v/>
      </c>
      <c r="AF139" s="63">
        <f>IF($A139="","",IF($M139&gt;0,"Yes","No"))</f>
        <v/>
      </c>
      <c r="AG139" s="63">
        <f>IF($A139="","",IF(AND($E139="Yes",OR($AA139="No",$AA139="NOT FOUND")),"YES",""))</f>
        <v/>
      </c>
      <c r="AH139" s="66">
        <f>IF($A139="","",TRIM(IF(AND($Y139=0,$I139&lt;&gt;"Yes"),"T0-NoPhishResistant ","")&amp;IF($H139="No","NoMFA ","")&amp;IF(AND($Y139=0,$M139&gt;0),"T0-Standing ","")&amp;IF(AND($Y139=0,$S139="Group only"),"T0-ViaGroupOnly ","")&amp;IF($R139="Yes","BroadAzureScope ","")&amp;IF(AND($E139="Yes",$G139=""),"NeverSignedIn ","")))</f>
        <v/>
      </c>
      <c r="AI139" s="60" t="n"/>
      <c r="AJ139" s="61" t="n"/>
      <c r="AK139" s="60" t="n"/>
      <c r="AL139" s="62" t="n"/>
      <c r="AM139" s="62" t="n"/>
      <c r="AN139" s="62" t="n"/>
      <c r="AO139" s="60" t="n"/>
      <c r="AP139" s="61" t="n"/>
      <c r="AQ139" s="63">
        <f>IF($A139="","",IF(AM139="","Not Enrolled",IF(TODAY()&gt;AM139,"Review Overdue",IF(AM139-TODAY()&lt;=30,"Review Due Soon","Active"))))</f>
        <v/>
      </c>
      <c r="AR139" s="63">
        <f>IF($A139="","",IF(AN139="","NOT REVIEWED",IF(TODAY()-AN139&gt;90,"OVERDUE",IF(TODAY()-AN139&gt;76,"Due Soon","Current"))))</f>
        <v/>
      </c>
    </row>
    <row r="140" ht="15" customHeight="1" s="39">
      <c r="A140" s="61" t="n"/>
      <c r="B140" s="60" t="n"/>
      <c r="C140" s="61" t="n"/>
      <c r="D140" s="60" t="n"/>
      <c r="E140" s="60" t="n"/>
      <c r="F140" s="62" t="n"/>
      <c r="G140" s="62" t="n"/>
      <c r="H140" s="60" t="n"/>
      <c r="I140" s="60" t="n"/>
      <c r="J140" s="61" t="n"/>
      <c r="K140" s="61" t="n"/>
      <c r="L140" s="61" t="n"/>
      <c r="M140" s="60" t="n"/>
      <c r="N140" s="60" t="n"/>
      <c r="O140" s="60" t="n"/>
      <c r="P140" s="61" t="n"/>
      <c r="Q140" s="60" t="n"/>
      <c r="R140" s="60" t="n"/>
      <c r="S140" s="60" t="n"/>
      <c r="T140" s="61" t="n"/>
      <c r="U140" s="61" t="n"/>
      <c r="V140" s="60" t="n"/>
      <c r="W140" s="60" t="n"/>
      <c r="X140" s="60" t="n"/>
      <c r="Y140" s="60" t="n"/>
      <c r="Z140" s="61" t="n"/>
      <c r="AA140" s="60" t="n"/>
      <c r="AB140" s="60" t="n"/>
      <c r="AC140" s="60" t="n"/>
      <c r="AD140" s="60" t="n"/>
      <c r="AE140" s="63">
        <f>IF($G140="","",TODAY()-$G140)</f>
        <v/>
      </c>
      <c r="AF140" s="63">
        <f>IF($A140="","",IF($M140&gt;0,"Yes","No"))</f>
        <v/>
      </c>
      <c r="AG140" s="63">
        <f>IF($A140="","",IF(AND($E140="Yes",OR($AA140="No",$AA140="NOT FOUND")),"YES",""))</f>
        <v/>
      </c>
      <c r="AH140" s="66">
        <f>IF($A140="","",TRIM(IF(AND($Y140=0,$I140&lt;&gt;"Yes"),"T0-NoPhishResistant ","")&amp;IF($H140="No","NoMFA ","")&amp;IF(AND($Y140=0,$M140&gt;0),"T0-Standing ","")&amp;IF(AND($Y140=0,$S140="Group only"),"T0-ViaGroupOnly ","")&amp;IF($R140="Yes","BroadAzureScope ","")&amp;IF(AND($E140="Yes",$G140=""),"NeverSignedIn ","")))</f>
        <v/>
      </c>
      <c r="AI140" s="60" t="n"/>
      <c r="AJ140" s="61" t="n"/>
      <c r="AK140" s="60" t="n"/>
      <c r="AL140" s="62" t="n"/>
      <c r="AM140" s="62" t="n"/>
      <c r="AN140" s="62" t="n"/>
      <c r="AO140" s="60" t="n"/>
      <c r="AP140" s="61" t="n"/>
      <c r="AQ140" s="63">
        <f>IF($A140="","",IF(AM140="","Not Enrolled",IF(TODAY()&gt;AM140,"Review Overdue",IF(AM140-TODAY()&lt;=30,"Review Due Soon","Active"))))</f>
        <v/>
      </c>
      <c r="AR140" s="63">
        <f>IF($A140="","",IF(AN140="","NOT REVIEWED",IF(TODAY()-AN140&gt;90,"OVERDUE",IF(TODAY()-AN140&gt;76,"Due Soon","Current"))))</f>
        <v/>
      </c>
    </row>
    <row r="141" ht="15" customHeight="1" s="39">
      <c r="A141" s="61" t="n"/>
      <c r="B141" s="60" t="n"/>
      <c r="C141" s="61" t="n"/>
      <c r="D141" s="60" t="n"/>
      <c r="E141" s="60" t="n"/>
      <c r="F141" s="62" t="n"/>
      <c r="G141" s="62" t="n"/>
      <c r="H141" s="60" t="n"/>
      <c r="I141" s="60" t="n"/>
      <c r="J141" s="61" t="n"/>
      <c r="K141" s="61" t="n"/>
      <c r="L141" s="61" t="n"/>
      <c r="M141" s="60" t="n"/>
      <c r="N141" s="60" t="n"/>
      <c r="O141" s="60" t="n"/>
      <c r="P141" s="61" t="n"/>
      <c r="Q141" s="60" t="n"/>
      <c r="R141" s="60" t="n"/>
      <c r="S141" s="60" t="n"/>
      <c r="T141" s="61" t="n"/>
      <c r="U141" s="61" t="n"/>
      <c r="V141" s="60" t="n"/>
      <c r="W141" s="60" t="n"/>
      <c r="X141" s="60" t="n"/>
      <c r="Y141" s="60" t="n"/>
      <c r="Z141" s="61" t="n"/>
      <c r="AA141" s="60" t="n"/>
      <c r="AB141" s="60" t="n"/>
      <c r="AC141" s="60" t="n"/>
      <c r="AD141" s="60" t="n"/>
      <c r="AE141" s="63">
        <f>IF($G141="","",TODAY()-$G141)</f>
        <v/>
      </c>
      <c r="AF141" s="63">
        <f>IF($A141="","",IF($M141&gt;0,"Yes","No"))</f>
        <v/>
      </c>
      <c r="AG141" s="63">
        <f>IF($A141="","",IF(AND($E141="Yes",OR($AA141="No",$AA141="NOT FOUND")),"YES",""))</f>
        <v/>
      </c>
      <c r="AH141" s="66">
        <f>IF($A141="","",TRIM(IF(AND($Y141=0,$I141&lt;&gt;"Yes"),"T0-NoPhishResistant ","")&amp;IF($H141="No","NoMFA ","")&amp;IF(AND($Y141=0,$M141&gt;0),"T0-Standing ","")&amp;IF(AND($Y141=0,$S141="Group only"),"T0-ViaGroupOnly ","")&amp;IF($R141="Yes","BroadAzureScope ","")&amp;IF(AND($E141="Yes",$G141=""),"NeverSignedIn ","")))</f>
        <v/>
      </c>
      <c r="AI141" s="60" t="n"/>
      <c r="AJ141" s="61" t="n"/>
      <c r="AK141" s="60" t="n"/>
      <c r="AL141" s="62" t="n"/>
      <c r="AM141" s="62" t="n"/>
      <c r="AN141" s="62" t="n"/>
      <c r="AO141" s="60" t="n"/>
      <c r="AP141" s="61" t="n"/>
      <c r="AQ141" s="63">
        <f>IF($A141="","",IF(AM141="","Not Enrolled",IF(TODAY()&gt;AM141,"Review Overdue",IF(AM141-TODAY()&lt;=30,"Review Due Soon","Active"))))</f>
        <v/>
      </c>
      <c r="AR141" s="63">
        <f>IF($A141="","",IF(AN141="","NOT REVIEWED",IF(TODAY()-AN141&gt;90,"OVERDUE",IF(TODAY()-AN141&gt;76,"Due Soon","Current"))))</f>
        <v/>
      </c>
    </row>
    <row r="142" ht="15" customHeight="1" s="39">
      <c r="A142" s="61" t="n"/>
      <c r="B142" s="60" t="n"/>
      <c r="C142" s="61" t="n"/>
      <c r="D142" s="60" t="n"/>
      <c r="E142" s="60" t="n"/>
      <c r="F142" s="62" t="n"/>
      <c r="G142" s="62" t="n"/>
      <c r="H142" s="60" t="n"/>
      <c r="I142" s="60" t="n"/>
      <c r="J142" s="61" t="n"/>
      <c r="K142" s="61" t="n"/>
      <c r="L142" s="61" t="n"/>
      <c r="M142" s="60" t="n"/>
      <c r="N142" s="60" t="n"/>
      <c r="O142" s="60" t="n"/>
      <c r="P142" s="61" t="n"/>
      <c r="Q142" s="60" t="n"/>
      <c r="R142" s="60" t="n"/>
      <c r="S142" s="60" t="n"/>
      <c r="T142" s="61" t="n"/>
      <c r="U142" s="61" t="n"/>
      <c r="V142" s="60" t="n"/>
      <c r="W142" s="60" t="n"/>
      <c r="X142" s="60" t="n"/>
      <c r="Y142" s="60" t="n"/>
      <c r="Z142" s="61" t="n"/>
      <c r="AA142" s="60" t="n"/>
      <c r="AB142" s="60" t="n"/>
      <c r="AC142" s="60" t="n"/>
      <c r="AD142" s="60" t="n"/>
      <c r="AE142" s="63">
        <f>IF($G142="","",TODAY()-$G142)</f>
        <v/>
      </c>
      <c r="AF142" s="63">
        <f>IF($A142="","",IF($M142&gt;0,"Yes","No"))</f>
        <v/>
      </c>
      <c r="AG142" s="63">
        <f>IF($A142="","",IF(AND($E142="Yes",OR($AA142="No",$AA142="NOT FOUND")),"YES",""))</f>
        <v/>
      </c>
      <c r="AH142" s="66">
        <f>IF($A142="","",TRIM(IF(AND($Y142=0,$I142&lt;&gt;"Yes"),"T0-NoPhishResistant ","")&amp;IF($H142="No","NoMFA ","")&amp;IF(AND($Y142=0,$M142&gt;0),"T0-Standing ","")&amp;IF(AND($Y142=0,$S142="Group only"),"T0-ViaGroupOnly ","")&amp;IF($R142="Yes","BroadAzureScope ","")&amp;IF(AND($E142="Yes",$G142=""),"NeverSignedIn ","")))</f>
        <v/>
      </c>
      <c r="AI142" s="60" t="n"/>
      <c r="AJ142" s="61" t="n"/>
      <c r="AK142" s="60" t="n"/>
      <c r="AL142" s="62" t="n"/>
      <c r="AM142" s="62" t="n"/>
      <c r="AN142" s="62" t="n"/>
      <c r="AO142" s="60" t="n"/>
      <c r="AP142" s="61" t="n"/>
      <c r="AQ142" s="63">
        <f>IF($A142="","",IF(AM142="","Not Enrolled",IF(TODAY()&gt;AM142,"Review Overdue",IF(AM142-TODAY()&lt;=30,"Review Due Soon","Active"))))</f>
        <v/>
      </c>
      <c r="AR142" s="63">
        <f>IF($A142="","",IF(AN142="","NOT REVIEWED",IF(TODAY()-AN142&gt;90,"OVERDUE",IF(TODAY()-AN142&gt;76,"Due Soon","Current"))))</f>
        <v/>
      </c>
    </row>
    <row r="143" ht="15" customHeight="1" s="39">
      <c r="A143" s="61" t="n"/>
      <c r="B143" s="60" t="n"/>
      <c r="C143" s="61" t="n"/>
      <c r="D143" s="60" t="n"/>
      <c r="E143" s="60" t="n"/>
      <c r="F143" s="62" t="n"/>
      <c r="G143" s="62" t="n"/>
      <c r="H143" s="60" t="n"/>
      <c r="I143" s="60" t="n"/>
      <c r="J143" s="61" t="n"/>
      <c r="K143" s="61" t="n"/>
      <c r="L143" s="61" t="n"/>
      <c r="M143" s="60" t="n"/>
      <c r="N143" s="60" t="n"/>
      <c r="O143" s="60" t="n"/>
      <c r="P143" s="61" t="n"/>
      <c r="Q143" s="60" t="n"/>
      <c r="R143" s="60" t="n"/>
      <c r="S143" s="60" t="n"/>
      <c r="T143" s="61" t="n"/>
      <c r="U143" s="61" t="n"/>
      <c r="V143" s="60" t="n"/>
      <c r="W143" s="60" t="n"/>
      <c r="X143" s="60" t="n"/>
      <c r="Y143" s="60" t="n"/>
      <c r="Z143" s="61" t="n"/>
      <c r="AA143" s="60" t="n"/>
      <c r="AB143" s="60" t="n"/>
      <c r="AC143" s="60" t="n"/>
      <c r="AD143" s="60" t="n"/>
      <c r="AE143" s="63">
        <f>IF($G143="","",TODAY()-$G143)</f>
        <v/>
      </c>
      <c r="AF143" s="63">
        <f>IF($A143="","",IF($M143&gt;0,"Yes","No"))</f>
        <v/>
      </c>
      <c r="AG143" s="63">
        <f>IF($A143="","",IF(AND($E143="Yes",OR($AA143="No",$AA143="NOT FOUND")),"YES",""))</f>
        <v/>
      </c>
      <c r="AH143" s="66">
        <f>IF($A143="","",TRIM(IF(AND($Y143=0,$I143&lt;&gt;"Yes"),"T0-NoPhishResistant ","")&amp;IF($H143="No","NoMFA ","")&amp;IF(AND($Y143=0,$M143&gt;0),"T0-Standing ","")&amp;IF(AND($Y143=0,$S143="Group only"),"T0-ViaGroupOnly ","")&amp;IF($R143="Yes","BroadAzureScope ","")&amp;IF(AND($E143="Yes",$G143=""),"NeverSignedIn ","")))</f>
        <v/>
      </c>
      <c r="AI143" s="60" t="n"/>
      <c r="AJ143" s="61" t="n"/>
      <c r="AK143" s="60" t="n"/>
      <c r="AL143" s="62" t="n"/>
      <c r="AM143" s="62" t="n"/>
      <c r="AN143" s="62" t="n"/>
      <c r="AO143" s="60" t="n"/>
      <c r="AP143" s="61" t="n"/>
      <c r="AQ143" s="63">
        <f>IF($A143="","",IF(AM143="","Not Enrolled",IF(TODAY()&gt;AM143,"Review Overdue",IF(AM143-TODAY()&lt;=30,"Review Due Soon","Active"))))</f>
        <v/>
      </c>
      <c r="AR143" s="63">
        <f>IF($A143="","",IF(AN143="","NOT REVIEWED",IF(TODAY()-AN143&gt;90,"OVERDUE",IF(TODAY()-AN143&gt;76,"Due Soon","Current"))))</f>
        <v/>
      </c>
    </row>
    <row r="144" ht="15" customHeight="1" s="39">
      <c r="A144" s="61" t="n"/>
      <c r="B144" s="60" t="n"/>
      <c r="C144" s="61" t="n"/>
      <c r="D144" s="60" t="n"/>
      <c r="E144" s="60" t="n"/>
      <c r="F144" s="62" t="n"/>
      <c r="G144" s="62" t="n"/>
      <c r="H144" s="60" t="n"/>
      <c r="I144" s="60" t="n"/>
      <c r="J144" s="61" t="n"/>
      <c r="K144" s="61" t="n"/>
      <c r="L144" s="61" t="n"/>
      <c r="M144" s="60" t="n"/>
      <c r="N144" s="60" t="n"/>
      <c r="O144" s="60" t="n"/>
      <c r="P144" s="61" t="n"/>
      <c r="Q144" s="60" t="n"/>
      <c r="R144" s="60" t="n"/>
      <c r="S144" s="60" t="n"/>
      <c r="T144" s="61" t="n"/>
      <c r="U144" s="61" t="n"/>
      <c r="V144" s="60" t="n"/>
      <c r="W144" s="60" t="n"/>
      <c r="X144" s="60" t="n"/>
      <c r="Y144" s="60" t="n"/>
      <c r="Z144" s="61" t="n"/>
      <c r="AA144" s="60" t="n"/>
      <c r="AB144" s="60" t="n"/>
      <c r="AC144" s="60" t="n"/>
      <c r="AD144" s="60" t="n"/>
      <c r="AE144" s="63">
        <f>IF($G144="","",TODAY()-$G144)</f>
        <v/>
      </c>
      <c r="AF144" s="63">
        <f>IF($A144="","",IF($M144&gt;0,"Yes","No"))</f>
        <v/>
      </c>
      <c r="AG144" s="63">
        <f>IF($A144="","",IF(AND($E144="Yes",OR($AA144="No",$AA144="NOT FOUND")),"YES",""))</f>
        <v/>
      </c>
      <c r="AH144" s="66">
        <f>IF($A144="","",TRIM(IF(AND($Y144=0,$I144&lt;&gt;"Yes"),"T0-NoPhishResistant ","")&amp;IF($H144="No","NoMFA ","")&amp;IF(AND($Y144=0,$M144&gt;0),"T0-Standing ","")&amp;IF(AND($Y144=0,$S144="Group only"),"T0-ViaGroupOnly ","")&amp;IF($R144="Yes","BroadAzureScope ","")&amp;IF(AND($E144="Yes",$G144=""),"NeverSignedIn ","")))</f>
        <v/>
      </c>
      <c r="AI144" s="60" t="n"/>
      <c r="AJ144" s="61" t="n"/>
      <c r="AK144" s="60" t="n"/>
      <c r="AL144" s="62" t="n"/>
      <c r="AM144" s="62" t="n"/>
      <c r="AN144" s="62" t="n"/>
      <c r="AO144" s="60" t="n"/>
      <c r="AP144" s="61" t="n"/>
      <c r="AQ144" s="63">
        <f>IF($A144="","",IF(AM144="","Not Enrolled",IF(TODAY()&gt;AM144,"Review Overdue",IF(AM144-TODAY()&lt;=30,"Review Due Soon","Active"))))</f>
        <v/>
      </c>
      <c r="AR144" s="63">
        <f>IF($A144="","",IF(AN144="","NOT REVIEWED",IF(TODAY()-AN144&gt;90,"OVERDUE",IF(TODAY()-AN144&gt;76,"Due Soon","Current"))))</f>
        <v/>
      </c>
    </row>
    <row r="145" ht="15" customHeight="1" s="39">
      <c r="A145" s="61" t="n"/>
      <c r="B145" s="60" t="n"/>
      <c r="C145" s="61" t="n"/>
      <c r="D145" s="60" t="n"/>
      <c r="E145" s="60" t="n"/>
      <c r="F145" s="62" t="n"/>
      <c r="G145" s="62" t="n"/>
      <c r="H145" s="60" t="n"/>
      <c r="I145" s="60" t="n"/>
      <c r="J145" s="61" t="n"/>
      <c r="K145" s="61" t="n"/>
      <c r="L145" s="61" t="n"/>
      <c r="M145" s="60" t="n"/>
      <c r="N145" s="60" t="n"/>
      <c r="O145" s="60" t="n"/>
      <c r="P145" s="61" t="n"/>
      <c r="Q145" s="60" t="n"/>
      <c r="R145" s="60" t="n"/>
      <c r="S145" s="60" t="n"/>
      <c r="T145" s="61" t="n"/>
      <c r="U145" s="61" t="n"/>
      <c r="V145" s="60" t="n"/>
      <c r="W145" s="60" t="n"/>
      <c r="X145" s="60" t="n"/>
      <c r="Y145" s="60" t="n"/>
      <c r="Z145" s="61" t="n"/>
      <c r="AA145" s="60" t="n"/>
      <c r="AB145" s="60" t="n"/>
      <c r="AC145" s="60" t="n"/>
      <c r="AD145" s="60" t="n"/>
      <c r="AE145" s="63">
        <f>IF($G145="","",TODAY()-$G145)</f>
        <v/>
      </c>
      <c r="AF145" s="63">
        <f>IF($A145="","",IF($M145&gt;0,"Yes","No"))</f>
        <v/>
      </c>
      <c r="AG145" s="63">
        <f>IF($A145="","",IF(AND($E145="Yes",OR($AA145="No",$AA145="NOT FOUND")),"YES",""))</f>
        <v/>
      </c>
      <c r="AH145" s="66">
        <f>IF($A145="","",TRIM(IF(AND($Y145=0,$I145&lt;&gt;"Yes"),"T0-NoPhishResistant ","")&amp;IF($H145="No","NoMFA ","")&amp;IF(AND($Y145=0,$M145&gt;0),"T0-Standing ","")&amp;IF(AND($Y145=0,$S145="Group only"),"T0-ViaGroupOnly ","")&amp;IF($R145="Yes","BroadAzureScope ","")&amp;IF(AND($E145="Yes",$G145=""),"NeverSignedIn ","")))</f>
        <v/>
      </c>
      <c r="AI145" s="60" t="n"/>
      <c r="AJ145" s="61" t="n"/>
      <c r="AK145" s="60" t="n"/>
      <c r="AL145" s="62" t="n"/>
      <c r="AM145" s="62" t="n"/>
      <c r="AN145" s="62" t="n"/>
      <c r="AO145" s="60" t="n"/>
      <c r="AP145" s="61" t="n"/>
      <c r="AQ145" s="63">
        <f>IF($A145="","",IF(AM145="","Not Enrolled",IF(TODAY()&gt;AM145,"Review Overdue",IF(AM145-TODAY()&lt;=30,"Review Due Soon","Active"))))</f>
        <v/>
      </c>
      <c r="AR145" s="63">
        <f>IF($A145="","",IF(AN145="","NOT REVIEWED",IF(TODAY()-AN145&gt;90,"OVERDUE",IF(TODAY()-AN145&gt;76,"Due Soon","Current"))))</f>
        <v/>
      </c>
    </row>
    <row r="146" ht="15" customHeight="1" s="39">
      <c r="A146" s="61" t="n"/>
      <c r="B146" s="60" t="n"/>
      <c r="C146" s="61" t="n"/>
      <c r="D146" s="60" t="n"/>
      <c r="E146" s="60" t="n"/>
      <c r="F146" s="62" t="n"/>
      <c r="G146" s="62" t="n"/>
      <c r="H146" s="60" t="n"/>
      <c r="I146" s="60" t="n"/>
      <c r="J146" s="61" t="n"/>
      <c r="K146" s="61" t="n"/>
      <c r="L146" s="61" t="n"/>
      <c r="M146" s="60" t="n"/>
      <c r="N146" s="60" t="n"/>
      <c r="O146" s="60" t="n"/>
      <c r="P146" s="61" t="n"/>
      <c r="Q146" s="60" t="n"/>
      <c r="R146" s="60" t="n"/>
      <c r="S146" s="60" t="n"/>
      <c r="T146" s="61" t="n"/>
      <c r="U146" s="61" t="n"/>
      <c r="V146" s="60" t="n"/>
      <c r="W146" s="60" t="n"/>
      <c r="X146" s="60" t="n"/>
      <c r="Y146" s="60" t="n"/>
      <c r="Z146" s="61" t="n"/>
      <c r="AA146" s="60" t="n"/>
      <c r="AB146" s="60" t="n"/>
      <c r="AC146" s="60" t="n"/>
      <c r="AD146" s="60" t="n"/>
      <c r="AE146" s="63">
        <f>IF($G146="","",TODAY()-$G146)</f>
        <v/>
      </c>
      <c r="AF146" s="63">
        <f>IF($A146="","",IF($M146&gt;0,"Yes","No"))</f>
        <v/>
      </c>
      <c r="AG146" s="63">
        <f>IF($A146="","",IF(AND($E146="Yes",OR($AA146="No",$AA146="NOT FOUND")),"YES",""))</f>
        <v/>
      </c>
      <c r="AH146" s="66">
        <f>IF($A146="","",TRIM(IF(AND($Y146=0,$I146&lt;&gt;"Yes"),"T0-NoPhishResistant ","")&amp;IF($H146="No","NoMFA ","")&amp;IF(AND($Y146=0,$M146&gt;0),"T0-Standing ","")&amp;IF(AND($Y146=0,$S146="Group only"),"T0-ViaGroupOnly ","")&amp;IF($R146="Yes","BroadAzureScope ","")&amp;IF(AND($E146="Yes",$G146=""),"NeverSignedIn ","")))</f>
        <v/>
      </c>
      <c r="AI146" s="60" t="n"/>
      <c r="AJ146" s="61" t="n"/>
      <c r="AK146" s="60" t="n"/>
      <c r="AL146" s="62" t="n"/>
      <c r="AM146" s="62" t="n"/>
      <c r="AN146" s="62" t="n"/>
      <c r="AO146" s="60" t="n"/>
      <c r="AP146" s="61" t="n"/>
      <c r="AQ146" s="63">
        <f>IF($A146="","",IF(AM146="","Not Enrolled",IF(TODAY()&gt;AM146,"Review Overdue",IF(AM146-TODAY()&lt;=30,"Review Due Soon","Active"))))</f>
        <v/>
      </c>
      <c r="AR146" s="63">
        <f>IF($A146="","",IF(AN146="","NOT REVIEWED",IF(TODAY()-AN146&gt;90,"OVERDUE",IF(TODAY()-AN146&gt;76,"Due Soon","Current"))))</f>
        <v/>
      </c>
    </row>
    <row r="147" ht="15" customHeight="1" s="39">
      <c r="A147" s="61" t="n"/>
      <c r="B147" s="60" t="n"/>
      <c r="C147" s="61" t="n"/>
      <c r="D147" s="60" t="n"/>
      <c r="E147" s="60" t="n"/>
      <c r="F147" s="62" t="n"/>
      <c r="G147" s="62" t="n"/>
      <c r="H147" s="60" t="n"/>
      <c r="I147" s="60" t="n"/>
      <c r="J147" s="61" t="n"/>
      <c r="K147" s="61" t="n"/>
      <c r="L147" s="61" t="n"/>
      <c r="M147" s="60" t="n"/>
      <c r="N147" s="60" t="n"/>
      <c r="O147" s="60" t="n"/>
      <c r="P147" s="61" t="n"/>
      <c r="Q147" s="60" t="n"/>
      <c r="R147" s="60" t="n"/>
      <c r="S147" s="60" t="n"/>
      <c r="T147" s="61" t="n"/>
      <c r="U147" s="61" t="n"/>
      <c r="V147" s="60" t="n"/>
      <c r="W147" s="60" t="n"/>
      <c r="X147" s="60" t="n"/>
      <c r="Y147" s="60" t="n"/>
      <c r="Z147" s="61" t="n"/>
      <c r="AA147" s="60" t="n"/>
      <c r="AB147" s="60" t="n"/>
      <c r="AC147" s="60" t="n"/>
      <c r="AD147" s="60" t="n"/>
      <c r="AE147" s="63">
        <f>IF($G147="","",TODAY()-$G147)</f>
        <v/>
      </c>
      <c r="AF147" s="63">
        <f>IF($A147="","",IF($M147&gt;0,"Yes","No"))</f>
        <v/>
      </c>
      <c r="AG147" s="63">
        <f>IF($A147="","",IF(AND($E147="Yes",OR($AA147="No",$AA147="NOT FOUND")),"YES",""))</f>
        <v/>
      </c>
      <c r="AH147" s="66">
        <f>IF($A147="","",TRIM(IF(AND($Y147=0,$I147&lt;&gt;"Yes"),"T0-NoPhishResistant ","")&amp;IF($H147="No","NoMFA ","")&amp;IF(AND($Y147=0,$M147&gt;0),"T0-Standing ","")&amp;IF(AND($Y147=0,$S147="Group only"),"T0-ViaGroupOnly ","")&amp;IF($R147="Yes","BroadAzureScope ","")&amp;IF(AND($E147="Yes",$G147=""),"NeverSignedIn ","")))</f>
        <v/>
      </c>
      <c r="AI147" s="60" t="n"/>
      <c r="AJ147" s="61" t="n"/>
      <c r="AK147" s="60" t="n"/>
      <c r="AL147" s="62" t="n"/>
      <c r="AM147" s="62" t="n"/>
      <c r="AN147" s="62" t="n"/>
      <c r="AO147" s="60" t="n"/>
      <c r="AP147" s="61" t="n"/>
      <c r="AQ147" s="63">
        <f>IF($A147="","",IF(AM147="","Not Enrolled",IF(TODAY()&gt;AM147,"Review Overdue",IF(AM147-TODAY()&lt;=30,"Review Due Soon","Active"))))</f>
        <v/>
      </c>
      <c r="AR147" s="63">
        <f>IF($A147="","",IF(AN147="","NOT REVIEWED",IF(TODAY()-AN147&gt;90,"OVERDUE",IF(TODAY()-AN147&gt;76,"Due Soon","Current"))))</f>
        <v/>
      </c>
    </row>
    <row r="148" ht="15" customHeight="1" s="39">
      <c r="A148" s="61" t="n"/>
      <c r="B148" s="60" t="n"/>
      <c r="C148" s="61" t="n"/>
      <c r="D148" s="60" t="n"/>
      <c r="E148" s="60" t="n"/>
      <c r="F148" s="62" t="n"/>
      <c r="G148" s="62" t="n"/>
      <c r="H148" s="60" t="n"/>
      <c r="I148" s="60" t="n"/>
      <c r="J148" s="61" t="n"/>
      <c r="K148" s="61" t="n"/>
      <c r="L148" s="61" t="n"/>
      <c r="M148" s="60" t="n"/>
      <c r="N148" s="60" t="n"/>
      <c r="O148" s="60" t="n"/>
      <c r="P148" s="61" t="n"/>
      <c r="Q148" s="60" t="n"/>
      <c r="R148" s="60" t="n"/>
      <c r="S148" s="60" t="n"/>
      <c r="T148" s="61" t="n"/>
      <c r="U148" s="61" t="n"/>
      <c r="V148" s="60" t="n"/>
      <c r="W148" s="60" t="n"/>
      <c r="X148" s="60" t="n"/>
      <c r="Y148" s="60" t="n"/>
      <c r="Z148" s="61" t="n"/>
      <c r="AA148" s="60" t="n"/>
      <c r="AB148" s="60" t="n"/>
      <c r="AC148" s="60" t="n"/>
      <c r="AD148" s="60" t="n"/>
      <c r="AE148" s="63">
        <f>IF($G148="","",TODAY()-$G148)</f>
        <v/>
      </c>
      <c r="AF148" s="63">
        <f>IF($A148="","",IF($M148&gt;0,"Yes","No"))</f>
        <v/>
      </c>
      <c r="AG148" s="63">
        <f>IF($A148="","",IF(AND($E148="Yes",OR($AA148="No",$AA148="NOT FOUND")),"YES",""))</f>
        <v/>
      </c>
      <c r="AH148" s="66">
        <f>IF($A148="","",TRIM(IF(AND($Y148=0,$I148&lt;&gt;"Yes"),"T0-NoPhishResistant ","")&amp;IF($H148="No","NoMFA ","")&amp;IF(AND($Y148=0,$M148&gt;0),"T0-Standing ","")&amp;IF(AND($Y148=0,$S148="Group only"),"T0-ViaGroupOnly ","")&amp;IF($R148="Yes","BroadAzureScope ","")&amp;IF(AND($E148="Yes",$G148=""),"NeverSignedIn ","")))</f>
        <v/>
      </c>
      <c r="AI148" s="60" t="n"/>
      <c r="AJ148" s="61" t="n"/>
      <c r="AK148" s="60" t="n"/>
      <c r="AL148" s="62" t="n"/>
      <c r="AM148" s="62" t="n"/>
      <c r="AN148" s="62" t="n"/>
      <c r="AO148" s="60" t="n"/>
      <c r="AP148" s="61" t="n"/>
      <c r="AQ148" s="63">
        <f>IF($A148="","",IF(AM148="","Not Enrolled",IF(TODAY()&gt;AM148,"Review Overdue",IF(AM148-TODAY()&lt;=30,"Review Due Soon","Active"))))</f>
        <v/>
      </c>
      <c r="AR148" s="63">
        <f>IF($A148="","",IF(AN148="","NOT REVIEWED",IF(TODAY()-AN148&gt;90,"OVERDUE",IF(TODAY()-AN148&gt;76,"Due Soon","Current"))))</f>
        <v/>
      </c>
    </row>
    <row r="149" ht="15" customHeight="1" s="39">
      <c r="A149" s="61" t="n"/>
      <c r="B149" s="60" t="n"/>
      <c r="C149" s="61" t="n"/>
      <c r="D149" s="60" t="n"/>
      <c r="E149" s="60" t="n"/>
      <c r="F149" s="62" t="n"/>
      <c r="G149" s="62" t="n"/>
      <c r="H149" s="60" t="n"/>
      <c r="I149" s="60" t="n"/>
      <c r="J149" s="61" t="n"/>
      <c r="K149" s="61" t="n"/>
      <c r="L149" s="61" t="n"/>
      <c r="M149" s="60" t="n"/>
      <c r="N149" s="60" t="n"/>
      <c r="O149" s="60" t="n"/>
      <c r="P149" s="61" t="n"/>
      <c r="Q149" s="60" t="n"/>
      <c r="R149" s="60" t="n"/>
      <c r="S149" s="60" t="n"/>
      <c r="T149" s="61" t="n"/>
      <c r="U149" s="61" t="n"/>
      <c r="V149" s="60" t="n"/>
      <c r="W149" s="60" t="n"/>
      <c r="X149" s="60" t="n"/>
      <c r="Y149" s="60" t="n"/>
      <c r="Z149" s="61" t="n"/>
      <c r="AA149" s="60" t="n"/>
      <c r="AB149" s="60" t="n"/>
      <c r="AC149" s="60" t="n"/>
      <c r="AD149" s="60" t="n"/>
      <c r="AE149" s="63">
        <f>IF($G149="","",TODAY()-$G149)</f>
        <v/>
      </c>
      <c r="AF149" s="63">
        <f>IF($A149="","",IF($M149&gt;0,"Yes","No"))</f>
        <v/>
      </c>
      <c r="AG149" s="63">
        <f>IF($A149="","",IF(AND($E149="Yes",OR($AA149="No",$AA149="NOT FOUND")),"YES",""))</f>
        <v/>
      </c>
      <c r="AH149" s="66">
        <f>IF($A149="","",TRIM(IF(AND($Y149=0,$I149&lt;&gt;"Yes"),"T0-NoPhishResistant ","")&amp;IF($H149="No","NoMFA ","")&amp;IF(AND($Y149=0,$M149&gt;0),"T0-Standing ","")&amp;IF(AND($Y149=0,$S149="Group only"),"T0-ViaGroupOnly ","")&amp;IF($R149="Yes","BroadAzureScope ","")&amp;IF(AND($E149="Yes",$G149=""),"NeverSignedIn ","")))</f>
        <v/>
      </c>
      <c r="AI149" s="60" t="n"/>
      <c r="AJ149" s="61" t="n"/>
      <c r="AK149" s="60" t="n"/>
      <c r="AL149" s="62" t="n"/>
      <c r="AM149" s="62" t="n"/>
      <c r="AN149" s="62" t="n"/>
      <c r="AO149" s="60" t="n"/>
      <c r="AP149" s="61" t="n"/>
      <c r="AQ149" s="63">
        <f>IF($A149="","",IF(AM149="","Not Enrolled",IF(TODAY()&gt;AM149,"Review Overdue",IF(AM149-TODAY()&lt;=30,"Review Due Soon","Active"))))</f>
        <v/>
      </c>
      <c r="AR149" s="63">
        <f>IF($A149="","",IF(AN149="","NOT REVIEWED",IF(TODAY()-AN149&gt;90,"OVERDUE",IF(TODAY()-AN149&gt;76,"Due Soon","Current"))))</f>
        <v/>
      </c>
    </row>
    <row r="150" ht="15" customHeight="1" s="39">
      <c r="A150" s="61" t="n"/>
      <c r="B150" s="60" t="n"/>
      <c r="C150" s="61" t="n"/>
      <c r="D150" s="60" t="n"/>
      <c r="E150" s="60" t="n"/>
      <c r="F150" s="62" t="n"/>
      <c r="G150" s="62" t="n"/>
      <c r="H150" s="60" t="n"/>
      <c r="I150" s="60" t="n"/>
      <c r="J150" s="61" t="n"/>
      <c r="K150" s="61" t="n"/>
      <c r="L150" s="61" t="n"/>
      <c r="M150" s="60" t="n"/>
      <c r="N150" s="60" t="n"/>
      <c r="O150" s="60" t="n"/>
      <c r="P150" s="61" t="n"/>
      <c r="Q150" s="60" t="n"/>
      <c r="R150" s="60" t="n"/>
      <c r="S150" s="60" t="n"/>
      <c r="T150" s="61" t="n"/>
      <c r="U150" s="61" t="n"/>
      <c r="V150" s="60" t="n"/>
      <c r="W150" s="60" t="n"/>
      <c r="X150" s="60" t="n"/>
      <c r="Y150" s="60" t="n"/>
      <c r="Z150" s="61" t="n"/>
      <c r="AA150" s="60" t="n"/>
      <c r="AB150" s="60" t="n"/>
      <c r="AC150" s="60" t="n"/>
      <c r="AD150" s="60" t="n"/>
      <c r="AE150" s="63">
        <f>IF($G150="","",TODAY()-$G150)</f>
        <v/>
      </c>
      <c r="AF150" s="63">
        <f>IF($A150="","",IF($M150&gt;0,"Yes","No"))</f>
        <v/>
      </c>
      <c r="AG150" s="63">
        <f>IF($A150="","",IF(AND($E150="Yes",OR($AA150="No",$AA150="NOT FOUND")),"YES",""))</f>
        <v/>
      </c>
      <c r="AH150" s="66">
        <f>IF($A150="","",TRIM(IF(AND($Y150=0,$I150&lt;&gt;"Yes"),"T0-NoPhishResistant ","")&amp;IF($H150="No","NoMFA ","")&amp;IF(AND($Y150=0,$M150&gt;0),"T0-Standing ","")&amp;IF(AND($Y150=0,$S150="Group only"),"T0-ViaGroupOnly ","")&amp;IF($R150="Yes","BroadAzureScope ","")&amp;IF(AND($E150="Yes",$G150=""),"NeverSignedIn ","")))</f>
        <v/>
      </c>
      <c r="AI150" s="60" t="n"/>
      <c r="AJ150" s="61" t="n"/>
      <c r="AK150" s="60" t="n"/>
      <c r="AL150" s="62" t="n"/>
      <c r="AM150" s="62" t="n"/>
      <c r="AN150" s="62" t="n"/>
      <c r="AO150" s="60" t="n"/>
      <c r="AP150" s="61" t="n"/>
      <c r="AQ150" s="63">
        <f>IF($A150="","",IF(AM150="","Not Enrolled",IF(TODAY()&gt;AM150,"Review Overdue",IF(AM150-TODAY()&lt;=30,"Review Due Soon","Active"))))</f>
        <v/>
      </c>
      <c r="AR150" s="63">
        <f>IF($A150="","",IF(AN150="","NOT REVIEWED",IF(TODAY()-AN150&gt;90,"OVERDUE",IF(TODAY()-AN150&gt;76,"Due Soon","Current"))))</f>
        <v/>
      </c>
    </row>
    <row r="151" ht="15" customHeight="1" s="39">
      <c r="A151" s="61" t="n"/>
      <c r="B151" s="60" t="n"/>
      <c r="C151" s="61" t="n"/>
      <c r="D151" s="60" t="n"/>
      <c r="E151" s="60" t="n"/>
      <c r="F151" s="62" t="n"/>
      <c r="G151" s="62" t="n"/>
      <c r="H151" s="60" t="n"/>
      <c r="I151" s="60" t="n"/>
      <c r="J151" s="61" t="n"/>
      <c r="K151" s="61" t="n"/>
      <c r="L151" s="61" t="n"/>
      <c r="M151" s="60" t="n"/>
      <c r="N151" s="60" t="n"/>
      <c r="O151" s="60" t="n"/>
      <c r="P151" s="61" t="n"/>
      <c r="Q151" s="60" t="n"/>
      <c r="R151" s="60" t="n"/>
      <c r="S151" s="60" t="n"/>
      <c r="T151" s="61" t="n"/>
      <c r="U151" s="61" t="n"/>
      <c r="V151" s="60" t="n"/>
      <c r="W151" s="60" t="n"/>
      <c r="X151" s="60" t="n"/>
      <c r="Y151" s="60" t="n"/>
      <c r="Z151" s="61" t="n"/>
      <c r="AA151" s="60" t="n"/>
      <c r="AB151" s="60" t="n"/>
      <c r="AC151" s="60" t="n"/>
      <c r="AD151" s="60" t="n"/>
      <c r="AE151" s="63">
        <f>IF($G151="","",TODAY()-$G151)</f>
        <v/>
      </c>
      <c r="AF151" s="63">
        <f>IF($A151="","",IF($M151&gt;0,"Yes","No"))</f>
        <v/>
      </c>
      <c r="AG151" s="63">
        <f>IF($A151="","",IF(AND($E151="Yes",OR($AA151="No",$AA151="NOT FOUND")),"YES",""))</f>
        <v/>
      </c>
      <c r="AH151" s="66">
        <f>IF($A151="","",TRIM(IF(AND($Y151=0,$I151&lt;&gt;"Yes"),"T0-NoPhishResistant ","")&amp;IF($H151="No","NoMFA ","")&amp;IF(AND($Y151=0,$M151&gt;0),"T0-Standing ","")&amp;IF(AND($Y151=0,$S151="Group only"),"T0-ViaGroupOnly ","")&amp;IF($R151="Yes","BroadAzureScope ","")&amp;IF(AND($E151="Yes",$G151=""),"NeverSignedIn ","")))</f>
        <v/>
      </c>
      <c r="AI151" s="60" t="n"/>
      <c r="AJ151" s="61" t="n"/>
      <c r="AK151" s="60" t="n"/>
      <c r="AL151" s="62" t="n"/>
      <c r="AM151" s="62" t="n"/>
      <c r="AN151" s="62" t="n"/>
      <c r="AO151" s="60" t="n"/>
      <c r="AP151" s="61" t="n"/>
      <c r="AQ151" s="63">
        <f>IF($A151="","",IF(AM151="","Not Enrolled",IF(TODAY()&gt;AM151,"Review Overdue",IF(AM151-TODAY()&lt;=30,"Review Due Soon","Active"))))</f>
        <v/>
      </c>
      <c r="AR151" s="63">
        <f>IF($A151="","",IF(AN151="","NOT REVIEWED",IF(TODAY()-AN151&gt;90,"OVERDUE",IF(TODAY()-AN151&gt;76,"Due Soon","Current"))))</f>
        <v/>
      </c>
    </row>
    <row r="152" ht="15" customHeight="1" s="39">
      <c r="A152" s="61" t="n"/>
      <c r="B152" s="60" t="n"/>
      <c r="C152" s="61" t="n"/>
      <c r="D152" s="60" t="n"/>
      <c r="E152" s="60" t="n"/>
      <c r="F152" s="62" t="n"/>
      <c r="G152" s="62" t="n"/>
      <c r="H152" s="60" t="n"/>
      <c r="I152" s="60" t="n"/>
      <c r="J152" s="61" t="n"/>
      <c r="K152" s="61" t="n"/>
      <c r="L152" s="61" t="n"/>
      <c r="M152" s="60" t="n"/>
      <c r="N152" s="60" t="n"/>
      <c r="O152" s="60" t="n"/>
      <c r="P152" s="61" t="n"/>
      <c r="Q152" s="60" t="n"/>
      <c r="R152" s="60" t="n"/>
      <c r="S152" s="60" t="n"/>
      <c r="T152" s="61" t="n"/>
      <c r="U152" s="61" t="n"/>
      <c r="V152" s="60" t="n"/>
      <c r="W152" s="60" t="n"/>
      <c r="X152" s="60" t="n"/>
      <c r="Y152" s="60" t="n"/>
      <c r="Z152" s="61" t="n"/>
      <c r="AA152" s="60" t="n"/>
      <c r="AB152" s="60" t="n"/>
      <c r="AC152" s="60" t="n"/>
      <c r="AD152" s="60" t="n"/>
      <c r="AE152" s="63">
        <f>IF($G152="","",TODAY()-$G152)</f>
        <v/>
      </c>
      <c r="AF152" s="63">
        <f>IF($A152="","",IF($M152&gt;0,"Yes","No"))</f>
        <v/>
      </c>
      <c r="AG152" s="63">
        <f>IF($A152="","",IF(AND($E152="Yes",OR($AA152="No",$AA152="NOT FOUND")),"YES",""))</f>
        <v/>
      </c>
      <c r="AH152" s="66">
        <f>IF($A152="","",TRIM(IF(AND($Y152=0,$I152&lt;&gt;"Yes"),"T0-NoPhishResistant ","")&amp;IF($H152="No","NoMFA ","")&amp;IF(AND($Y152=0,$M152&gt;0),"T0-Standing ","")&amp;IF(AND($Y152=0,$S152="Group only"),"T0-ViaGroupOnly ","")&amp;IF($R152="Yes","BroadAzureScope ","")&amp;IF(AND($E152="Yes",$G152=""),"NeverSignedIn ","")))</f>
        <v/>
      </c>
      <c r="AI152" s="60" t="n"/>
      <c r="AJ152" s="61" t="n"/>
      <c r="AK152" s="60" t="n"/>
      <c r="AL152" s="62" t="n"/>
      <c r="AM152" s="62" t="n"/>
      <c r="AN152" s="62" t="n"/>
      <c r="AO152" s="60" t="n"/>
      <c r="AP152" s="61" t="n"/>
      <c r="AQ152" s="63">
        <f>IF($A152="","",IF(AM152="","Not Enrolled",IF(TODAY()&gt;AM152,"Review Overdue",IF(AM152-TODAY()&lt;=30,"Review Due Soon","Active"))))</f>
        <v/>
      </c>
      <c r="AR152" s="63">
        <f>IF($A152="","",IF(AN152="","NOT REVIEWED",IF(TODAY()-AN152&gt;90,"OVERDUE",IF(TODAY()-AN152&gt;76,"Due Soon","Current"))))</f>
        <v/>
      </c>
    </row>
    <row r="153" ht="15" customHeight="1" s="39">
      <c r="A153" s="61" t="n"/>
      <c r="B153" s="60" t="n"/>
      <c r="C153" s="61" t="n"/>
      <c r="D153" s="60" t="n"/>
      <c r="E153" s="60" t="n"/>
      <c r="F153" s="62" t="n"/>
      <c r="G153" s="62" t="n"/>
      <c r="H153" s="60" t="n"/>
      <c r="I153" s="60" t="n"/>
      <c r="J153" s="61" t="n"/>
      <c r="K153" s="61" t="n"/>
      <c r="L153" s="61" t="n"/>
      <c r="M153" s="60" t="n"/>
      <c r="N153" s="60" t="n"/>
      <c r="O153" s="60" t="n"/>
      <c r="P153" s="61" t="n"/>
      <c r="Q153" s="60" t="n"/>
      <c r="R153" s="60" t="n"/>
      <c r="S153" s="60" t="n"/>
      <c r="T153" s="61" t="n"/>
      <c r="U153" s="61" t="n"/>
      <c r="V153" s="60" t="n"/>
      <c r="W153" s="60" t="n"/>
      <c r="X153" s="60" t="n"/>
      <c r="Y153" s="60" t="n"/>
      <c r="Z153" s="61" t="n"/>
      <c r="AA153" s="60" t="n"/>
      <c r="AB153" s="60" t="n"/>
      <c r="AC153" s="60" t="n"/>
      <c r="AD153" s="60" t="n"/>
      <c r="AE153" s="63">
        <f>IF($G153="","",TODAY()-$G153)</f>
        <v/>
      </c>
      <c r="AF153" s="63">
        <f>IF($A153="","",IF($M153&gt;0,"Yes","No"))</f>
        <v/>
      </c>
      <c r="AG153" s="63">
        <f>IF($A153="","",IF(AND($E153="Yes",OR($AA153="No",$AA153="NOT FOUND")),"YES",""))</f>
        <v/>
      </c>
      <c r="AH153" s="66">
        <f>IF($A153="","",TRIM(IF(AND($Y153=0,$I153&lt;&gt;"Yes"),"T0-NoPhishResistant ","")&amp;IF($H153="No","NoMFA ","")&amp;IF(AND($Y153=0,$M153&gt;0),"T0-Standing ","")&amp;IF(AND($Y153=0,$S153="Group only"),"T0-ViaGroupOnly ","")&amp;IF($R153="Yes","BroadAzureScope ","")&amp;IF(AND($E153="Yes",$G153=""),"NeverSignedIn ","")))</f>
        <v/>
      </c>
      <c r="AI153" s="60" t="n"/>
      <c r="AJ153" s="61" t="n"/>
      <c r="AK153" s="60" t="n"/>
      <c r="AL153" s="62" t="n"/>
      <c r="AM153" s="62" t="n"/>
      <c r="AN153" s="62" t="n"/>
      <c r="AO153" s="60" t="n"/>
      <c r="AP153" s="61" t="n"/>
      <c r="AQ153" s="63">
        <f>IF($A153="","",IF(AM153="","Not Enrolled",IF(TODAY()&gt;AM153,"Review Overdue",IF(AM153-TODAY()&lt;=30,"Review Due Soon","Active"))))</f>
        <v/>
      </c>
      <c r="AR153" s="63">
        <f>IF($A153="","",IF(AN153="","NOT REVIEWED",IF(TODAY()-AN153&gt;90,"OVERDUE",IF(TODAY()-AN153&gt;76,"Due Soon","Current"))))</f>
        <v/>
      </c>
    </row>
    <row r="154" ht="15" customHeight="1" s="39">
      <c r="A154" s="61" t="n"/>
      <c r="B154" s="60" t="n"/>
      <c r="C154" s="61" t="n"/>
      <c r="D154" s="60" t="n"/>
      <c r="E154" s="60" t="n"/>
      <c r="F154" s="62" t="n"/>
      <c r="G154" s="62" t="n"/>
      <c r="H154" s="60" t="n"/>
      <c r="I154" s="60" t="n"/>
      <c r="J154" s="61" t="n"/>
      <c r="K154" s="61" t="n"/>
      <c r="L154" s="61" t="n"/>
      <c r="M154" s="60" t="n"/>
      <c r="N154" s="60" t="n"/>
      <c r="O154" s="60" t="n"/>
      <c r="P154" s="61" t="n"/>
      <c r="Q154" s="60" t="n"/>
      <c r="R154" s="60" t="n"/>
      <c r="S154" s="60" t="n"/>
      <c r="T154" s="61" t="n"/>
      <c r="U154" s="61" t="n"/>
      <c r="V154" s="60" t="n"/>
      <c r="W154" s="60" t="n"/>
      <c r="X154" s="60" t="n"/>
      <c r="Y154" s="60" t="n"/>
      <c r="Z154" s="61" t="n"/>
      <c r="AA154" s="60" t="n"/>
      <c r="AB154" s="60" t="n"/>
      <c r="AC154" s="60" t="n"/>
      <c r="AD154" s="60" t="n"/>
      <c r="AE154" s="63">
        <f>IF($G154="","",TODAY()-$G154)</f>
        <v/>
      </c>
      <c r="AF154" s="63">
        <f>IF($A154="","",IF($M154&gt;0,"Yes","No"))</f>
        <v/>
      </c>
      <c r="AG154" s="63">
        <f>IF($A154="","",IF(AND($E154="Yes",OR($AA154="No",$AA154="NOT FOUND")),"YES",""))</f>
        <v/>
      </c>
      <c r="AH154" s="66">
        <f>IF($A154="","",TRIM(IF(AND($Y154=0,$I154&lt;&gt;"Yes"),"T0-NoPhishResistant ","")&amp;IF($H154="No","NoMFA ","")&amp;IF(AND($Y154=0,$M154&gt;0),"T0-Standing ","")&amp;IF(AND($Y154=0,$S154="Group only"),"T0-ViaGroupOnly ","")&amp;IF($R154="Yes","BroadAzureScope ","")&amp;IF(AND($E154="Yes",$G154=""),"NeverSignedIn ","")))</f>
        <v/>
      </c>
      <c r="AI154" s="60" t="n"/>
      <c r="AJ154" s="61" t="n"/>
      <c r="AK154" s="60" t="n"/>
      <c r="AL154" s="62" t="n"/>
      <c r="AM154" s="62" t="n"/>
      <c r="AN154" s="62" t="n"/>
      <c r="AO154" s="60" t="n"/>
      <c r="AP154" s="61" t="n"/>
      <c r="AQ154" s="63">
        <f>IF($A154="","",IF(AM154="","Not Enrolled",IF(TODAY()&gt;AM154,"Review Overdue",IF(AM154-TODAY()&lt;=30,"Review Due Soon","Active"))))</f>
        <v/>
      </c>
      <c r="AR154" s="63">
        <f>IF($A154="","",IF(AN154="","NOT REVIEWED",IF(TODAY()-AN154&gt;90,"OVERDUE",IF(TODAY()-AN154&gt;76,"Due Soon","Current"))))</f>
        <v/>
      </c>
    </row>
    <row r="155" ht="15" customHeight="1" s="39">
      <c r="A155" s="61" t="n"/>
      <c r="B155" s="60" t="n"/>
      <c r="C155" s="61" t="n"/>
      <c r="D155" s="60" t="n"/>
      <c r="E155" s="60" t="n"/>
      <c r="F155" s="62" t="n"/>
      <c r="G155" s="62" t="n"/>
      <c r="H155" s="60" t="n"/>
      <c r="I155" s="60" t="n"/>
      <c r="J155" s="61" t="n"/>
      <c r="K155" s="61" t="n"/>
      <c r="L155" s="61" t="n"/>
      <c r="M155" s="60" t="n"/>
      <c r="N155" s="60" t="n"/>
      <c r="O155" s="60" t="n"/>
      <c r="P155" s="61" t="n"/>
      <c r="Q155" s="60" t="n"/>
      <c r="R155" s="60" t="n"/>
      <c r="S155" s="60" t="n"/>
      <c r="T155" s="61" t="n"/>
      <c r="U155" s="61" t="n"/>
      <c r="V155" s="60" t="n"/>
      <c r="W155" s="60" t="n"/>
      <c r="X155" s="60" t="n"/>
      <c r="Y155" s="60" t="n"/>
      <c r="Z155" s="61" t="n"/>
      <c r="AA155" s="60" t="n"/>
      <c r="AB155" s="60" t="n"/>
      <c r="AC155" s="60" t="n"/>
      <c r="AD155" s="60" t="n"/>
      <c r="AE155" s="63">
        <f>IF($G155="","",TODAY()-$G155)</f>
        <v/>
      </c>
      <c r="AF155" s="63">
        <f>IF($A155="","",IF($M155&gt;0,"Yes","No"))</f>
        <v/>
      </c>
      <c r="AG155" s="63">
        <f>IF($A155="","",IF(AND($E155="Yes",OR($AA155="No",$AA155="NOT FOUND")),"YES",""))</f>
        <v/>
      </c>
      <c r="AH155" s="66">
        <f>IF($A155="","",TRIM(IF(AND($Y155=0,$I155&lt;&gt;"Yes"),"T0-NoPhishResistant ","")&amp;IF($H155="No","NoMFA ","")&amp;IF(AND($Y155=0,$M155&gt;0),"T0-Standing ","")&amp;IF(AND($Y155=0,$S155="Group only"),"T0-ViaGroupOnly ","")&amp;IF($R155="Yes","BroadAzureScope ","")&amp;IF(AND($E155="Yes",$G155=""),"NeverSignedIn ","")))</f>
        <v/>
      </c>
      <c r="AI155" s="60" t="n"/>
      <c r="AJ155" s="61" t="n"/>
      <c r="AK155" s="60" t="n"/>
      <c r="AL155" s="62" t="n"/>
      <c r="AM155" s="62" t="n"/>
      <c r="AN155" s="62" t="n"/>
      <c r="AO155" s="60" t="n"/>
      <c r="AP155" s="61" t="n"/>
      <c r="AQ155" s="63">
        <f>IF($A155="","",IF(AM155="","Not Enrolled",IF(TODAY()&gt;AM155,"Review Overdue",IF(AM155-TODAY()&lt;=30,"Review Due Soon","Active"))))</f>
        <v/>
      </c>
      <c r="AR155" s="63">
        <f>IF($A155="","",IF(AN155="","NOT REVIEWED",IF(TODAY()-AN155&gt;90,"OVERDUE",IF(TODAY()-AN155&gt;76,"Due Soon","Current"))))</f>
        <v/>
      </c>
    </row>
    <row r="156" ht="15" customHeight="1" s="39">
      <c r="A156" s="61" t="n"/>
      <c r="B156" s="60" t="n"/>
      <c r="C156" s="61" t="n"/>
      <c r="D156" s="60" t="n"/>
      <c r="E156" s="60" t="n"/>
      <c r="F156" s="62" t="n"/>
      <c r="G156" s="62" t="n"/>
      <c r="H156" s="60" t="n"/>
      <c r="I156" s="60" t="n"/>
      <c r="J156" s="61" t="n"/>
      <c r="K156" s="61" t="n"/>
      <c r="L156" s="61" t="n"/>
      <c r="M156" s="60" t="n"/>
      <c r="N156" s="60" t="n"/>
      <c r="O156" s="60" t="n"/>
      <c r="P156" s="61" t="n"/>
      <c r="Q156" s="60" t="n"/>
      <c r="R156" s="60" t="n"/>
      <c r="S156" s="60" t="n"/>
      <c r="T156" s="61" t="n"/>
      <c r="U156" s="61" t="n"/>
      <c r="V156" s="60" t="n"/>
      <c r="W156" s="60" t="n"/>
      <c r="X156" s="60" t="n"/>
      <c r="Y156" s="60" t="n"/>
      <c r="Z156" s="61" t="n"/>
      <c r="AA156" s="60" t="n"/>
      <c r="AB156" s="60" t="n"/>
      <c r="AC156" s="60" t="n"/>
      <c r="AD156" s="60" t="n"/>
      <c r="AE156" s="63">
        <f>IF($G156="","",TODAY()-$G156)</f>
        <v/>
      </c>
      <c r="AF156" s="63">
        <f>IF($A156="","",IF($M156&gt;0,"Yes","No"))</f>
        <v/>
      </c>
      <c r="AG156" s="63">
        <f>IF($A156="","",IF(AND($E156="Yes",OR($AA156="No",$AA156="NOT FOUND")),"YES",""))</f>
        <v/>
      </c>
      <c r="AH156" s="66">
        <f>IF($A156="","",TRIM(IF(AND($Y156=0,$I156&lt;&gt;"Yes"),"T0-NoPhishResistant ","")&amp;IF($H156="No","NoMFA ","")&amp;IF(AND($Y156=0,$M156&gt;0),"T0-Standing ","")&amp;IF(AND($Y156=0,$S156="Group only"),"T0-ViaGroupOnly ","")&amp;IF($R156="Yes","BroadAzureScope ","")&amp;IF(AND($E156="Yes",$G156=""),"NeverSignedIn ","")))</f>
        <v/>
      </c>
      <c r="AI156" s="60" t="n"/>
      <c r="AJ156" s="61" t="n"/>
      <c r="AK156" s="60" t="n"/>
      <c r="AL156" s="62" t="n"/>
      <c r="AM156" s="62" t="n"/>
      <c r="AN156" s="62" t="n"/>
      <c r="AO156" s="60" t="n"/>
      <c r="AP156" s="61" t="n"/>
      <c r="AQ156" s="63">
        <f>IF($A156="","",IF(AM156="","Not Enrolled",IF(TODAY()&gt;AM156,"Review Overdue",IF(AM156-TODAY()&lt;=30,"Review Due Soon","Active"))))</f>
        <v/>
      </c>
      <c r="AR156" s="63">
        <f>IF($A156="","",IF(AN156="","NOT REVIEWED",IF(TODAY()-AN156&gt;90,"OVERDUE",IF(TODAY()-AN156&gt;76,"Due Soon","Current"))))</f>
        <v/>
      </c>
    </row>
    <row r="157" ht="15" customHeight="1" s="39">
      <c r="A157" s="61" t="n"/>
      <c r="B157" s="60" t="n"/>
      <c r="C157" s="61" t="n"/>
      <c r="D157" s="60" t="n"/>
      <c r="E157" s="60" t="n"/>
      <c r="F157" s="62" t="n"/>
      <c r="G157" s="62" t="n"/>
      <c r="H157" s="60" t="n"/>
      <c r="I157" s="60" t="n"/>
      <c r="J157" s="61" t="n"/>
      <c r="K157" s="61" t="n"/>
      <c r="L157" s="61" t="n"/>
      <c r="M157" s="60" t="n"/>
      <c r="N157" s="60" t="n"/>
      <c r="O157" s="60" t="n"/>
      <c r="P157" s="61" t="n"/>
      <c r="Q157" s="60" t="n"/>
      <c r="R157" s="60" t="n"/>
      <c r="S157" s="60" t="n"/>
      <c r="T157" s="61" t="n"/>
      <c r="U157" s="61" t="n"/>
      <c r="V157" s="60" t="n"/>
      <c r="W157" s="60" t="n"/>
      <c r="X157" s="60" t="n"/>
      <c r="Y157" s="60" t="n"/>
      <c r="Z157" s="61" t="n"/>
      <c r="AA157" s="60" t="n"/>
      <c r="AB157" s="60" t="n"/>
      <c r="AC157" s="60" t="n"/>
      <c r="AD157" s="60" t="n"/>
      <c r="AE157" s="63">
        <f>IF($G157="","",TODAY()-$G157)</f>
        <v/>
      </c>
      <c r="AF157" s="63">
        <f>IF($A157="","",IF($M157&gt;0,"Yes","No"))</f>
        <v/>
      </c>
      <c r="AG157" s="63">
        <f>IF($A157="","",IF(AND($E157="Yes",OR($AA157="No",$AA157="NOT FOUND")),"YES",""))</f>
        <v/>
      </c>
      <c r="AH157" s="66">
        <f>IF($A157="","",TRIM(IF(AND($Y157=0,$I157&lt;&gt;"Yes"),"T0-NoPhishResistant ","")&amp;IF($H157="No","NoMFA ","")&amp;IF(AND($Y157=0,$M157&gt;0),"T0-Standing ","")&amp;IF(AND($Y157=0,$S157="Group only"),"T0-ViaGroupOnly ","")&amp;IF($R157="Yes","BroadAzureScope ","")&amp;IF(AND($E157="Yes",$G157=""),"NeverSignedIn ","")))</f>
        <v/>
      </c>
      <c r="AI157" s="60" t="n"/>
      <c r="AJ157" s="61" t="n"/>
      <c r="AK157" s="60" t="n"/>
      <c r="AL157" s="62" t="n"/>
      <c r="AM157" s="62" t="n"/>
      <c r="AN157" s="62" t="n"/>
      <c r="AO157" s="60" t="n"/>
      <c r="AP157" s="61" t="n"/>
      <c r="AQ157" s="63">
        <f>IF($A157="","",IF(AM157="","Not Enrolled",IF(TODAY()&gt;AM157,"Review Overdue",IF(AM157-TODAY()&lt;=30,"Review Due Soon","Active"))))</f>
        <v/>
      </c>
      <c r="AR157" s="63">
        <f>IF($A157="","",IF(AN157="","NOT REVIEWED",IF(TODAY()-AN157&gt;90,"OVERDUE",IF(TODAY()-AN157&gt;76,"Due Soon","Current"))))</f>
        <v/>
      </c>
    </row>
    <row r="158" ht="15" customHeight="1" s="39">
      <c r="A158" s="61" t="n"/>
      <c r="B158" s="60" t="n"/>
      <c r="C158" s="61" t="n"/>
      <c r="D158" s="60" t="n"/>
      <c r="E158" s="60" t="n"/>
      <c r="F158" s="62" t="n"/>
      <c r="G158" s="62" t="n"/>
      <c r="H158" s="60" t="n"/>
      <c r="I158" s="60" t="n"/>
      <c r="J158" s="61" t="n"/>
      <c r="K158" s="61" t="n"/>
      <c r="L158" s="61" t="n"/>
      <c r="M158" s="60" t="n"/>
      <c r="N158" s="60" t="n"/>
      <c r="O158" s="60" t="n"/>
      <c r="P158" s="61" t="n"/>
      <c r="Q158" s="60" t="n"/>
      <c r="R158" s="60" t="n"/>
      <c r="S158" s="60" t="n"/>
      <c r="T158" s="61" t="n"/>
      <c r="U158" s="61" t="n"/>
      <c r="V158" s="60" t="n"/>
      <c r="W158" s="60" t="n"/>
      <c r="X158" s="60" t="n"/>
      <c r="Y158" s="60" t="n"/>
      <c r="Z158" s="61" t="n"/>
      <c r="AA158" s="60" t="n"/>
      <c r="AB158" s="60" t="n"/>
      <c r="AC158" s="60" t="n"/>
      <c r="AD158" s="60" t="n"/>
      <c r="AE158" s="63">
        <f>IF($G158="","",TODAY()-$G158)</f>
        <v/>
      </c>
      <c r="AF158" s="63">
        <f>IF($A158="","",IF($M158&gt;0,"Yes","No"))</f>
        <v/>
      </c>
      <c r="AG158" s="63">
        <f>IF($A158="","",IF(AND($E158="Yes",OR($AA158="No",$AA158="NOT FOUND")),"YES",""))</f>
        <v/>
      </c>
      <c r="AH158" s="66">
        <f>IF($A158="","",TRIM(IF(AND($Y158=0,$I158&lt;&gt;"Yes"),"T0-NoPhishResistant ","")&amp;IF($H158="No","NoMFA ","")&amp;IF(AND($Y158=0,$M158&gt;0),"T0-Standing ","")&amp;IF(AND($Y158=0,$S158="Group only"),"T0-ViaGroupOnly ","")&amp;IF($R158="Yes","BroadAzureScope ","")&amp;IF(AND($E158="Yes",$G158=""),"NeverSignedIn ","")))</f>
        <v/>
      </c>
      <c r="AI158" s="60" t="n"/>
      <c r="AJ158" s="61" t="n"/>
      <c r="AK158" s="60" t="n"/>
      <c r="AL158" s="62" t="n"/>
      <c r="AM158" s="62" t="n"/>
      <c r="AN158" s="62" t="n"/>
      <c r="AO158" s="60" t="n"/>
      <c r="AP158" s="61" t="n"/>
      <c r="AQ158" s="63">
        <f>IF($A158="","",IF(AM158="","Not Enrolled",IF(TODAY()&gt;AM158,"Review Overdue",IF(AM158-TODAY()&lt;=30,"Review Due Soon","Active"))))</f>
        <v/>
      </c>
      <c r="AR158" s="63">
        <f>IF($A158="","",IF(AN158="","NOT REVIEWED",IF(TODAY()-AN158&gt;90,"OVERDUE",IF(TODAY()-AN158&gt;76,"Due Soon","Current"))))</f>
        <v/>
      </c>
    </row>
    <row r="159" ht="15" customHeight="1" s="39">
      <c r="A159" s="61" t="n"/>
      <c r="B159" s="60" t="n"/>
      <c r="C159" s="61" t="n"/>
      <c r="D159" s="60" t="n"/>
      <c r="E159" s="60" t="n"/>
      <c r="F159" s="62" t="n"/>
      <c r="G159" s="62" t="n"/>
      <c r="H159" s="60" t="n"/>
      <c r="I159" s="60" t="n"/>
      <c r="J159" s="61" t="n"/>
      <c r="K159" s="61" t="n"/>
      <c r="L159" s="61" t="n"/>
      <c r="M159" s="60" t="n"/>
      <c r="N159" s="60" t="n"/>
      <c r="O159" s="60" t="n"/>
      <c r="P159" s="61" t="n"/>
      <c r="Q159" s="60" t="n"/>
      <c r="R159" s="60" t="n"/>
      <c r="S159" s="60" t="n"/>
      <c r="T159" s="61" t="n"/>
      <c r="U159" s="61" t="n"/>
      <c r="V159" s="60" t="n"/>
      <c r="W159" s="60" t="n"/>
      <c r="X159" s="60" t="n"/>
      <c r="Y159" s="60" t="n"/>
      <c r="Z159" s="61" t="n"/>
      <c r="AA159" s="60" t="n"/>
      <c r="AB159" s="60" t="n"/>
      <c r="AC159" s="60" t="n"/>
      <c r="AD159" s="60" t="n"/>
      <c r="AE159" s="63">
        <f>IF($G159="","",TODAY()-$G159)</f>
        <v/>
      </c>
      <c r="AF159" s="63">
        <f>IF($A159="","",IF($M159&gt;0,"Yes","No"))</f>
        <v/>
      </c>
      <c r="AG159" s="63">
        <f>IF($A159="","",IF(AND($E159="Yes",OR($AA159="No",$AA159="NOT FOUND")),"YES",""))</f>
        <v/>
      </c>
      <c r="AH159" s="66">
        <f>IF($A159="","",TRIM(IF(AND($Y159=0,$I159&lt;&gt;"Yes"),"T0-NoPhishResistant ","")&amp;IF($H159="No","NoMFA ","")&amp;IF(AND($Y159=0,$M159&gt;0),"T0-Standing ","")&amp;IF(AND($Y159=0,$S159="Group only"),"T0-ViaGroupOnly ","")&amp;IF($R159="Yes","BroadAzureScope ","")&amp;IF(AND($E159="Yes",$G159=""),"NeverSignedIn ","")))</f>
        <v/>
      </c>
      <c r="AI159" s="60" t="n"/>
      <c r="AJ159" s="61" t="n"/>
      <c r="AK159" s="60" t="n"/>
      <c r="AL159" s="62" t="n"/>
      <c r="AM159" s="62" t="n"/>
      <c r="AN159" s="62" t="n"/>
      <c r="AO159" s="60" t="n"/>
      <c r="AP159" s="61" t="n"/>
      <c r="AQ159" s="63">
        <f>IF($A159="","",IF(AM159="","Not Enrolled",IF(TODAY()&gt;AM159,"Review Overdue",IF(AM159-TODAY()&lt;=30,"Review Due Soon","Active"))))</f>
        <v/>
      </c>
      <c r="AR159" s="63">
        <f>IF($A159="","",IF(AN159="","NOT REVIEWED",IF(TODAY()-AN159&gt;90,"OVERDUE",IF(TODAY()-AN159&gt;76,"Due Soon","Current"))))</f>
        <v/>
      </c>
    </row>
    <row r="160" ht="15" customHeight="1" s="39">
      <c r="A160" s="61" t="n"/>
      <c r="B160" s="60" t="n"/>
      <c r="C160" s="61" t="n"/>
      <c r="D160" s="60" t="n"/>
      <c r="E160" s="60" t="n"/>
      <c r="F160" s="62" t="n"/>
      <c r="G160" s="62" t="n"/>
      <c r="H160" s="60" t="n"/>
      <c r="I160" s="60" t="n"/>
      <c r="J160" s="61" t="n"/>
      <c r="K160" s="61" t="n"/>
      <c r="L160" s="61" t="n"/>
      <c r="M160" s="60" t="n"/>
      <c r="N160" s="60" t="n"/>
      <c r="O160" s="60" t="n"/>
      <c r="P160" s="61" t="n"/>
      <c r="Q160" s="60" t="n"/>
      <c r="R160" s="60" t="n"/>
      <c r="S160" s="60" t="n"/>
      <c r="T160" s="61" t="n"/>
      <c r="U160" s="61" t="n"/>
      <c r="V160" s="60" t="n"/>
      <c r="W160" s="60" t="n"/>
      <c r="X160" s="60" t="n"/>
      <c r="Y160" s="60" t="n"/>
      <c r="Z160" s="61" t="n"/>
      <c r="AA160" s="60" t="n"/>
      <c r="AB160" s="60" t="n"/>
      <c r="AC160" s="60" t="n"/>
      <c r="AD160" s="60" t="n"/>
      <c r="AE160" s="63">
        <f>IF($G160="","",TODAY()-$G160)</f>
        <v/>
      </c>
      <c r="AF160" s="63">
        <f>IF($A160="","",IF($M160&gt;0,"Yes","No"))</f>
        <v/>
      </c>
      <c r="AG160" s="63">
        <f>IF($A160="","",IF(AND($E160="Yes",OR($AA160="No",$AA160="NOT FOUND")),"YES",""))</f>
        <v/>
      </c>
      <c r="AH160" s="66">
        <f>IF($A160="","",TRIM(IF(AND($Y160=0,$I160&lt;&gt;"Yes"),"T0-NoPhishResistant ","")&amp;IF($H160="No","NoMFA ","")&amp;IF(AND($Y160=0,$M160&gt;0),"T0-Standing ","")&amp;IF(AND($Y160=0,$S160="Group only"),"T0-ViaGroupOnly ","")&amp;IF($R160="Yes","BroadAzureScope ","")&amp;IF(AND($E160="Yes",$G160=""),"NeverSignedIn ","")))</f>
        <v/>
      </c>
      <c r="AI160" s="60" t="n"/>
      <c r="AJ160" s="61" t="n"/>
      <c r="AK160" s="60" t="n"/>
      <c r="AL160" s="62" t="n"/>
      <c r="AM160" s="62" t="n"/>
      <c r="AN160" s="62" t="n"/>
      <c r="AO160" s="60" t="n"/>
      <c r="AP160" s="61" t="n"/>
      <c r="AQ160" s="63">
        <f>IF($A160="","",IF(AM160="","Not Enrolled",IF(TODAY()&gt;AM160,"Review Overdue",IF(AM160-TODAY()&lt;=30,"Review Due Soon","Active"))))</f>
        <v/>
      </c>
      <c r="AR160" s="63">
        <f>IF($A160="","",IF(AN160="","NOT REVIEWED",IF(TODAY()-AN160&gt;90,"OVERDUE",IF(TODAY()-AN160&gt;76,"Due Soon","Current"))))</f>
        <v/>
      </c>
    </row>
    <row r="161" ht="15" customHeight="1" s="39">
      <c r="A161" s="61" t="n"/>
      <c r="B161" s="60" t="n"/>
      <c r="C161" s="61" t="n"/>
      <c r="D161" s="60" t="n"/>
      <c r="E161" s="60" t="n"/>
      <c r="F161" s="62" t="n"/>
      <c r="G161" s="62" t="n"/>
      <c r="H161" s="60" t="n"/>
      <c r="I161" s="60" t="n"/>
      <c r="J161" s="61" t="n"/>
      <c r="K161" s="61" t="n"/>
      <c r="L161" s="61" t="n"/>
      <c r="M161" s="60" t="n"/>
      <c r="N161" s="60" t="n"/>
      <c r="O161" s="60" t="n"/>
      <c r="P161" s="61" t="n"/>
      <c r="Q161" s="60" t="n"/>
      <c r="R161" s="60" t="n"/>
      <c r="S161" s="60" t="n"/>
      <c r="T161" s="61" t="n"/>
      <c r="U161" s="61" t="n"/>
      <c r="V161" s="60" t="n"/>
      <c r="W161" s="60" t="n"/>
      <c r="X161" s="60" t="n"/>
      <c r="Y161" s="60" t="n"/>
      <c r="Z161" s="61" t="n"/>
      <c r="AA161" s="60" t="n"/>
      <c r="AB161" s="60" t="n"/>
      <c r="AC161" s="60" t="n"/>
      <c r="AD161" s="60" t="n"/>
      <c r="AE161" s="63">
        <f>IF($G161="","",TODAY()-$G161)</f>
        <v/>
      </c>
      <c r="AF161" s="63">
        <f>IF($A161="","",IF($M161&gt;0,"Yes","No"))</f>
        <v/>
      </c>
      <c r="AG161" s="63">
        <f>IF($A161="","",IF(AND($E161="Yes",OR($AA161="No",$AA161="NOT FOUND")),"YES",""))</f>
        <v/>
      </c>
      <c r="AH161" s="66">
        <f>IF($A161="","",TRIM(IF(AND($Y161=0,$I161&lt;&gt;"Yes"),"T0-NoPhishResistant ","")&amp;IF($H161="No","NoMFA ","")&amp;IF(AND($Y161=0,$M161&gt;0),"T0-Standing ","")&amp;IF(AND($Y161=0,$S161="Group only"),"T0-ViaGroupOnly ","")&amp;IF($R161="Yes","BroadAzureScope ","")&amp;IF(AND($E161="Yes",$G161=""),"NeverSignedIn ","")))</f>
        <v/>
      </c>
      <c r="AI161" s="60" t="n"/>
      <c r="AJ161" s="61" t="n"/>
      <c r="AK161" s="60" t="n"/>
      <c r="AL161" s="62" t="n"/>
      <c r="AM161" s="62" t="n"/>
      <c r="AN161" s="62" t="n"/>
      <c r="AO161" s="60" t="n"/>
      <c r="AP161" s="61" t="n"/>
      <c r="AQ161" s="63">
        <f>IF($A161="","",IF(AM161="","Not Enrolled",IF(TODAY()&gt;AM161,"Review Overdue",IF(AM161-TODAY()&lt;=30,"Review Due Soon","Active"))))</f>
        <v/>
      </c>
      <c r="AR161" s="63">
        <f>IF($A161="","",IF(AN161="","NOT REVIEWED",IF(TODAY()-AN161&gt;90,"OVERDUE",IF(TODAY()-AN161&gt;76,"Due Soon","Current"))))</f>
        <v/>
      </c>
    </row>
    <row r="162" ht="15" customHeight="1" s="39">
      <c r="A162" s="61" t="n"/>
      <c r="B162" s="60" t="n"/>
      <c r="C162" s="61" t="n"/>
      <c r="D162" s="60" t="n"/>
      <c r="E162" s="60" t="n"/>
      <c r="F162" s="62" t="n"/>
      <c r="G162" s="62" t="n"/>
      <c r="H162" s="60" t="n"/>
      <c r="I162" s="60" t="n"/>
      <c r="J162" s="61" t="n"/>
      <c r="K162" s="61" t="n"/>
      <c r="L162" s="61" t="n"/>
      <c r="M162" s="60" t="n"/>
      <c r="N162" s="60" t="n"/>
      <c r="O162" s="60" t="n"/>
      <c r="P162" s="61" t="n"/>
      <c r="Q162" s="60" t="n"/>
      <c r="R162" s="60" t="n"/>
      <c r="S162" s="60" t="n"/>
      <c r="T162" s="61" t="n"/>
      <c r="U162" s="61" t="n"/>
      <c r="V162" s="60" t="n"/>
      <c r="W162" s="60" t="n"/>
      <c r="X162" s="60" t="n"/>
      <c r="Y162" s="60" t="n"/>
      <c r="Z162" s="61" t="n"/>
      <c r="AA162" s="60" t="n"/>
      <c r="AB162" s="60" t="n"/>
      <c r="AC162" s="60" t="n"/>
      <c r="AD162" s="60" t="n"/>
      <c r="AE162" s="63">
        <f>IF($G162="","",TODAY()-$G162)</f>
        <v/>
      </c>
      <c r="AF162" s="63">
        <f>IF($A162="","",IF($M162&gt;0,"Yes","No"))</f>
        <v/>
      </c>
      <c r="AG162" s="63">
        <f>IF($A162="","",IF(AND($E162="Yes",OR($AA162="No",$AA162="NOT FOUND")),"YES",""))</f>
        <v/>
      </c>
      <c r="AH162" s="66">
        <f>IF($A162="","",TRIM(IF(AND($Y162=0,$I162&lt;&gt;"Yes"),"T0-NoPhishResistant ","")&amp;IF($H162="No","NoMFA ","")&amp;IF(AND($Y162=0,$M162&gt;0),"T0-Standing ","")&amp;IF(AND($Y162=0,$S162="Group only"),"T0-ViaGroupOnly ","")&amp;IF($R162="Yes","BroadAzureScope ","")&amp;IF(AND($E162="Yes",$G162=""),"NeverSignedIn ","")))</f>
        <v/>
      </c>
      <c r="AI162" s="60" t="n"/>
      <c r="AJ162" s="61" t="n"/>
      <c r="AK162" s="60" t="n"/>
      <c r="AL162" s="62" t="n"/>
      <c r="AM162" s="62" t="n"/>
      <c r="AN162" s="62" t="n"/>
      <c r="AO162" s="60" t="n"/>
      <c r="AP162" s="61" t="n"/>
      <c r="AQ162" s="63">
        <f>IF($A162="","",IF(AM162="","Not Enrolled",IF(TODAY()&gt;AM162,"Review Overdue",IF(AM162-TODAY()&lt;=30,"Review Due Soon","Active"))))</f>
        <v/>
      </c>
      <c r="AR162" s="63">
        <f>IF($A162="","",IF(AN162="","NOT REVIEWED",IF(TODAY()-AN162&gt;90,"OVERDUE",IF(TODAY()-AN162&gt;76,"Due Soon","Current"))))</f>
        <v/>
      </c>
    </row>
    <row r="163" ht="15" customHeight="1" s="39">
      <c r="A163" s="61" t="n"/>
      <c r="B163" s="60" t="n"/>
      <c r="C163" s="61" t="n"/>
      <c r="D163" s="60" t="n"/>
      <c r="E163" s="60" t="n"/>
      <c r="F163" s="62" t="n"/>
      <c r="G163" s="62" t="n"/>
      <c r="H163" s="60" t="n"/>
      <c r="I163" s="60" t="n"/>
      <c r="J163" s="61" t="n"/>
      <c r="K163" s="61" t="n"/>
      <c r="L163" s="61" t="n"/>
      <c r="M163" s="60" t="n"/>
      <c r="N163" s="60" t="n"/>
      <c r="O163" s="60" t="n"/>
      <c r="P163" s="61" t="n"/>
      <c r="Q163" s="60" t="n"/>
      <c r="R163" s="60" t="n"/>
      <c r="S163" s="60" t="n"/>
      <c r="T163" s="61" t="n"/>
      <c r="U163" s="61" t="n"/>
      <c r="V163" s="60" t="n"/>
      <c r="W163" s="60" t="n"/>
      <c r="X163" s="60" t="n"/>
      <c r="Y163" s="60" t="n"/>
      <c r="Z163" s="61" t="n"/>
      <c r="AA163" s="60" t="n"/>
      <c r="AB163" s="60" t="n"/>
      <c r="AC163" s="60" t="n"/>
      <c r="AD163" s="60" t="n"/>
      <c r="AE163" s="63">
        <f>IF($G163="","",TODAY()-$G163)</f>
        <v/>
      </c>
      <c r="AF163" s="63">
        <f>IF($A163="","",IF($M163&gt;0,"Yes","No"))</f>
        <v/>
      </c>
      <c r="AG163" s="63">
        <f>IF($A163="","",IF(AND($E163="Yes",OR($AA163="No",$AA163="NOT FOUND")),"YES",""))</f>
        <v/>
      </c>
      <c r="AH163" s="66">
        <f>IF($A163="","",TRIM(IF(AND($Y163=0,$I163&lt;&gt;"Yes"),"T0-NoPhishResistant ","")&amp;IF($H163="No","NoMFA ","")&amp;IF(AND($Y163=0,$M163&gt;0),"T0-Standing ","")&amp;IF(AND($Y163=0,$S163="Group only"),"T0-ViaGroupOnly ","")&amp;IF($R163="Yes","BroadAzureScope ","")&amp;IF(AND($E163="Yes",$G163=""),"NeverSignedIn ","")))</f>
        <v/>
      </c>
      <c r="AI163" s="60" t="n"/>
      <c r="AJ163" s="61" t="n"/>
      <c r="AK163" s="60" t="n"/>
      <c r="AL163" s="62" t="n"/>
      <c r="AM163" s="62" t="n"/>
      <c r="AN163" s="62" t="n"/>
      <c r="AO163" s="60" t="n"/>
      <c r="AP163" s="61" t="n"/>
      <c r="AQ163" s="63">
        <f>IF($A163="","",IF(AM163="","Not Enrolled",IF(TODAY()&gt;AM163,"Review Overdue",IF(AM163-TODAY()&lt;=30,"Review Due Soon","Active"))))</f>
        <v/>
      </c>
      <c r="AR163" s="63">
        <f>IF($A163="","",IF(AN163="","NOT REVIEWED",IF(TODAY()-AN163&gt;90,"OVERDUE",IF(TODAY()-AN163&gt;76,"Due Soon","Current"))))</f>
        <v/>
      </c>
    </row>
    <row r="164" ht="15" customHeight="1" s="39">
      <c r="A164" s="61" t="n"/>
      <c r="B164" s="60" t="n"/>
      <c r="C164" s="61" t="n"/>
      <c r="D164" s="60" t="n"/>
      <c r="E164" s="60" t="n"/>
      <c r="F164" s="62" t="n"/>
      <c r="G164" s="62" t="n"/>
      <c r="H164" s="60" t="n"/>
      <c r="I164" s="60" t="n"/>
      <c r="J164" s="61" t="n"/>
      <c r="K164" s="61" t="n"/>
      <c r="L164" s="61" t="n"/>
      <c r="M164" s="60" t="n"/>
      <c r="N164" s="60" t="n"/>
      <c r="O164" s="60" t="n"/>
      <c r="P164" s="61" t="n"/>
      <c r="Q164" s="60" t="n"/>
      <c r="R164" s="60" t="n"/>
      <c r="S164" s="60" t="n"/>
      <c r="T164" s="61" t="n"/>
      <c r="U164" s="61" t="n"/>
      <c r="V164" s="60" t="n"/>
      <c r="W164" s="60" t="n"/>
      <c r="X164" s="60" t="n"/>
      <c r="Y164" s="60" t="n"/>
      <c r="Z164" s="61" t="n"/>
      <c r="AA164" s="60" t="n"/>
      <c r="AB164" s="60" t="n"/>
      <c r="AC164" s="60" t="n"/>
      <c r="AD164" s="60" t="n"/>
      <c r="AE164" s="63">
        <f>IF($G164="","",TODAY()-$G164)</f>
        <v/>
      </c>
      <c r="AF164" s="63">
        <f>IF($A164="","",IF($M164&gt;0,"Yes","No"))</f>
        <v/>
      </c>
      <c r="AG164" s="63">
        <f>IF($A164="","",IF(AND($E164="Yes",OR($AA164="No",$AA164="NOT FOUND")),"YES",""))</f>
        <v/>
      </c>
      <c r="AH164" s="66">
        <f>IF($A164="","",TRIM(IF(AND($Y164=0,$I164&lt;&gt;"Yes"),"T0-NoPhishResistant ","")&amp;IF($H164="No","NoMFA ","")&amp;IF(AND($Y164=0,$M164&gt;0),"T0-Standing ","")&amp;IF(AND($Y164=0,$S164="Group only"),"T0-ViaGroupOnly ","")&amp;IF($R164="Yes","BroadAzureScope ","")&amp;IF(AND($E164="Yes",$G164=""),"NeverSignedIn ","")))</f>
        <v/>
      </c>
      <c r="AI164" s="60" t="n"/>
      <c r="AJ164" s="61" t="n"/>
      <c r="AK164" s="60" t="n"/>
      <c r="AL164" s="62" t="n"/>
      <c r="AM164" s="62" t="n"/>
      <c r="AN164" s="62" t="n"/>
      <c r="AO164" s="60" t="n"/>
      <c r="AP164" s="61" t="n"/>
      <c r="AQ164" s="63">
        <f>IF($A164="","",IF(AM164="","Not Enrolled",IF(TODAY()&gt;AM164,"Review Overdue",IF(AM164-TODAY()&lt;=30,"Review Due Soon","Active"))))</f>
        <v/>
      </c>
      <c r="AR164" s="63">
        <f>IF($A164="","",IF(AN164="","NOT REVIEWED",IF(TODAY()-AN164&gt;90,"OVERDUE",IF(TODAY()-AN164&gt;76,"Due Soon","Current"))))</f>
        <v/>
      </c>
    </row>
    <row r="165" ht="15" customHeight="1" s="39">
      <c r="A165" s="61" t="n"/>
      <c r="B165" s="60" t="n"/>
      <c r="C165" s="61" t="n"/>
      <c r="D165" s="60" t="n"/>
      <c r="E165" s="60" t="n"/>
      <c r="F165" s="62" t="n"/>
      <c r="G165" s="62" t="n"/>
      <c r="H165" s="60" t="n"/>
      <c r="I165" s="60" t="n"/>
      <c r="J165" s="61" t="n"/>
      <c r="K165" s="61" t="n"/>
      <c r="L165" s="61" t="n"/>
      <c r="M165" s="60" t="n"/>
      <c r="N165" s="60" t="n"/>
      <c r="O165" s="60" t="n"/>
      <c r="P165" s="61" t="n"/>
      <c r="Q165" s="60" t="n"/>
      <c r="R165" s="60" t="n"/>
      <c r="S165" s="60" t="n"/>
      <c r="T165" s="61" t="n"/>
      <c r="U165" s="61" t="n"/>
      <c r="V165" s="60" t="n"/>
      <c r="W165" s="60" t="n"/>
      <c r="X165" s="60" t="n"/>
      <c r="Y165" s="60" t="n"/>
      <c r="Z165" s="61" t="n"/>
      <c r="AA165" s="60" t="n"/>
      <c r="AB165" s="60" t="n"/>
      <c r="AC165" s="60" t="n"/>
      <c r="AD165" s="60" t="n"/>
      <c r="AE165" s="63">
        <f>IF($G165="","",TODAY()-$G165)</f>
        <v/>
      </c>
      <c r="AF165" s="63">
        <f>IF($A165="","",IF($M165&gt;0,"Yes","No"))</f>
        <v/>
      </c>
      <c r="AG165" s="63">
        <f>IF($A165="","",IF(AND($E165="Yes",OR($AA165="No",$AA165="NOT FOUND")),"YES",""))</f>
        <v/>
      </c>
      <c r="AH165" s="66">
        <f>IF($A165="","",TRIM(IF(AND($Y165=0,$I165&lt;&gt;"Yes"),"T0-NoPhishResistant ","")&amp;IF($H165="No","NoMFA ","")&amp;IF(AND($Y165=0,$M165&gt;0),"T0-Standing ","")&amp;IF(AND($Y165=0,$S165="Group only"),"T0-ViaGroupOnly ","")&amp;IF($R165="Yes","BroadAzureScope ","")&amp;IF(AND($E165="Yes",$G165=""),"NeverSignedIn ","")))</f>
        <v/>
      </c>
      <c r="AI165" s="60" t="n"/>
      <c r="AJ165" s="61" t="n"/>
      <c r="AK165" s="60" t="n"/>
      <c r="AL165" s="62" t="n"/>
      <c r="AM165" s="62" t="n"/>
      <c r="AN165" s="62" t="n"/>
      <c r="AO165" s="60" t="n"/>
      <c r="AP165" s="61" t="n"/>
      <c r="AQ165" s="63">
        <f>IF($A165="","",IF(AM165="","Not Enrolled",IF(TODAY()&gt;AM165,"Review Overdue",IF(AM165-TODAY()&lt;=30,"Review Due Soon","Active"))))</f>
        <v/>
      </c>
      <c r="AR165" s="63">
        <f>IF($A165="","",IF(AN165="","NOT REVIEWED",IF(TODAY()-AN165&gt;90,"OVERDUE",IF(TODAY()-AN165&gt;76,"Due Soon","Current"))))</f>
        <v/>
      </c>
    </row>
    <row r="166" ht="15" customHeight="1" s="39">
      <c r="A166" s="61" t="n"/>
      <c r="B166" s="60" t="n"/>
      <c r="C166" s="61" t="n"/>
      <c r="D166" s="60" t="n"/>
      <c r="E166" s="60" t="n"/>
      <c r="F166" s="62" t="n"/>
      <c r="G166" s="62" t="n"/>
      <c r="H166" s="60" t="n"/>
      <c r="I166" s="60" t="n"/>
      <c r="J166" s="61" t="n"/>
      <c r="K166" s="61" t="n"/>
      <c r="L166" s="61" t="n"/>
      <c r="M166" s="60" t="n"/>
      <c r="N166" s="60" t="n"/>
      <c r="O166" s="60" t="n"/>
      <c r="P166" s="61" t="n"/>
      <c r="Q166" s="60" t="n"/>
      <c r="R166" s="60" t="n"/>
      <c r="S166" s="60" t="n"/>
      <c r="T166" s="61" t="n"/>
      <c r="U166" s="61" t="n"/>
      <c r="V166" s="60" t="n"/>
      <c r="W166" s="60" t="n"/>
      <c r="X166" s="60" t="n"/>
      <c r="Y166" s="60" t="n"/>
      <c r="Z166" s="61" t="n"/>
      <c r="AA166" s="60" t="n"/>
      <c r="AB166" s="60" t="n"/>
      <c r="AC166" s="60" t="n"/>
      <c r="AD166" s="60" t="n"/>
      <c r="AE166" s="63">
        <f>IF($G166="","",TODAY()-$G166)</f>
        <v/>
      </c>
      <c r="AF166" s="63">
        <f>IF($A166="","",IF($M166&gt;0,"Yes","No"))</f>
        <v/>
      </c>
      <c r="AG166" s="63">
        <f>IF($A166="","",IF(AND($E166="Yes",OR($AA166="No",$AA166="NOT FOUND")),"YES",""))</f>
        <v/>
      </c>
      <c r="AH166" s="66">
        <f>IF($A166="","",TRIM(IF(AND($Y166=0,$I166&lt;&gt;"Yes"),"T0-NoPhishResistant ","")&amp;IF($H166="No","NoMFA ","")&amp;IF(AND($Y166=0,$M166&gt;0),"T0-Standing ","")&amp;IF(AND($Y166=0,$S166="Group only"),"T0-ViaGroupOnly ","")&amp;IF($R166="Yes","BroadAzureScope ","")&amp;IF(AND($E166="Yes",$G166=""),"NeverSignedIn ","")))</f>
        <v/>
      </c>
      <c r="AI166" s="60" t="n"/>
      <c r="AJ166" s="61" t="n"/>
      <c r="AK166" s="60" t="n"/>
      <c r="AL166" s="62" t="n"/>
      <c r="AM166" s="62" t="n"/>
      <c r="AN166" s="62" t="n"/>
      <c r="AO166" s="60" t="n"/>
      <c r="AP166" s="61" t="n"/>
      <c r="AQ166" s="63">
        <f>IF($A166="","",IF(AM166="","Not Enrolled",IF(TODAY()&gt;AM166,"Review Overdue",IF(AM166-TODAY()&lt;=30,"Review Due Soon","Active"))))</f>
        <v/>
      </c>
      <c r="AR166" s="63">
        <f>IF($A166="","",IF(AN166="","NOT REVIEWED",IF(TODAY()-AN166&gt;90,"OVERDUE",IF(TODAY()-AN166&gt;76,"Due Soon","Current"))))</f>
        <v/>
      </c>
    </row>
    <row r="167" ht="15" customHeight="1" s="39">
      <c r="A167" s="61" t="n"/>
      <c r="B167" s="60" t="n"/>
      <c r="C167" s="61" t="n"/>
      <c r="D167" s="60" t="n"/>
      <c r="E167" s="60" t="n"/>
      <c r="F167" s="62" t="n"/>
      <c r="G167" s="62" t="n"/>
      <c r="H167" s="60" t="n"/>
      <c r="I167" s="60" t="n"/>
      <c r="J167" s="61" t="n"/>
      <c r="K167" s="61" t="n"/>
      <c r="L167" s="61" t="n"/>
      <c r="M167" s="60" t="n"/>
      <c r="N167" s="60" t="n"/>
      <c r="O167" s="60" t="n"/>
      <c r="P167" s="61" t="n"/>
      <c r="Q167" s="60" t="n"/>
      <c r="R167" s="60" t="n"/>
      <c r="S167" s="60" t="n"/>
      <c r="T167" s="61" t="n"/>
      <c r="U167" s="61" t="n"/>
      <c r="V167" s="60" t="n"/>
      <c r="W167" s="60" t="n"/>
      <c r="X167" s="60" t="n"/>
      <c r="Y167" s="60" t="n"/>
      <c r="Z167" s="61" t="n"/>
      <c r="AA167" s="60" t="n"/>
      <c r="AB167" s="60" t="n"/>
      <c r="AC167" s="60" t="n"/>
      <c r="AD167" s="60" t="n"/>
      <c r="AE167" s="63">
        <f>IF($G167="","",TODAY()-$G167)</f>
        <v/>
      </c>
      <c r="AF167" s="63">
        <f>IF($A167="","",IF($M167&gt;0,"Yes","No"))</f>
        <v/>
      </c>
      <c r="AG167" s="63">
        <f>IF($A167="","",IF(AND($E167="Yes",OR($AA167="No",$AA167="NOT FOUND")),"YES",""))</f>
        <v/>
      </c>
      <c r="AH167" s="66">
        <f>IF($A167="","",TRIM(IF(AND($Y167=0,$I167&lt;&gt;"Yes"),"T0-NoPhishResistant ","")&amp;IF($H167="No","NoMFA ","")&amp;IF(AND($Y167=0,$M167&gt;0),"T0-Standing ","")&amp;IF(AND($Y167=0,$S167="Group only"),"T0-ViaGroupOnly ","")&amp;IF($R167="Yes","BroadAzureScope ","")&amp;IF(AND($E167="Yes",$G167=""),"NeverSignedIn ","")))</f>
        <v/>
      </c>
      <c r="AI167" s="60" t="n"/>
      <c r="AJ167" s="61" t="n"/>
      <c r="AK167" s="60" t="n"/>
      <c r="AL167" s="62" t="n"/>
      <c r="AM167" s="62" t="n"/>
      <c r="AN167" s="62" t="n"/>
      <c r="AO167" s="60" t="n"/>
      <c r="AP167" s="61" t="n"/>
      <c r="AQ167" s="63">
        <f>IF($A167="","",IF(AM167="","Not Enrolled",IF(TODAY()&gt;AM167,"Review Overdue",IF(AM167-TODAY()&lt;=30,"Review Due Soon","Active"))))</f>
        <v/>
      </c>
      <c r="AR167" s="63">
        <f>IF($A167="","",IF(AN167="","NOT REVIEWED",IF(TODAY()-AN167&gt;90,"OVERDUE",IF(TODAY()-AN167&gt;76,"Due Soon","Current"))))</f>
        <v/>
      </c>
    </row>
    <row r="168" ht="15" customHeight="1" s="39">
      <c r="A168" s="61" t="n"/>
      <c r="B168" s="60" t="n"/>
      <c r="C168" s="61" t="n"/>
      <c r="D168" s="60" t="n"/>
      <c r="E168" s="60" t="n"/>
      <c r="F168" s="62" t="n"/>
      <c r="G168" s="62" t="n"/>
      <c r="H168" s="60" t="n"/>
      <c r="I168" s="60" t="n"/>
      <c r="J168" s="61" t="n"/>
      <c r="K168" s="61" t="n"/>
      <c r="L168" s="61" t="n"/>
      <c r="M168" s="60" t="n"/>
      <c r="N168" s="60" t="n"/>
      <c r="O168" s="60" t="n"/>
      <c r="P168" s="61" t="n"/>
      <c r="Q168" s="60" t="n"/>
      <c r="R168" s="60" t="n"/>
      <c r="S168" s="60" t="n"/>
      <c r="T168" s="61" t="n"/>
      <c r="U168" s="61" t="n"/>
      <c r="V168" s="60" t="n"/>
      <c r="W168" s="60" t="n"/>
      <c r="X168" s="60" t="n"/>
      <c r="Y168" s="60" t="n"/>
      <c r="Z168" s="61" t="n"/>
      <c r="AA168" s="60" t="n"/>
      <c r="AB168" s="60" t="n"/>
      <c r="AC168" s="60" t="n"/>
      <c r="AD168" s="60" t="n"/>
      <c r="AE168" s="63">
        <f>IF($G168="","",TODAY()-$G168)</f>
        <v/>
      </c>
      <c r="AF168" s="63">
        <f>IF($A168="","",IF($M168&gt;0,"Yes","No"))</f>
        <v/>
      </c>
      <c r="AG168" s="63">
        <f>IF($A168="","",IF(AND($E168="Yes",OR($AA168="No",$AA168="NOT FOUND")),"YES",""))</f>
        <v/>
      </c>
      <c r="AH168" s="66">
        <f>IF($A168="","",TRIM(IF(AND($Y168=0,$I168&lt;&gt;"Yes"),"T0-NoPhishResistant ","")&amp;IF($H168="No","NoMFA ","")&amp;IF(AND($Y168=0,$M168&gt;0),"T0-Standing ","")&amp;IF(AND($Y168=0,$S168="Group only"),"T0-ViaGroupOnly ","")&amp;IF($R168="Yes","BroadAzureScope ","")&amp;IF(AND($E168="Yes",$G168=""),"NeverSignedIn ","")))</f>
        <v/>
      </c>
      <c r="AI168" s="60" t="n"/>
      <c r="AJ168" s="61" t="n"/>
      <c r="AK168" s="60" t="n"/>
      <c r="AL168" s="62" t="n"/>
      <c r="AM168" s="62" t="n"/>
      <c r="AN168" s="62" t="n"/>
      <c r="AO168" s="60" t="n"/>
      <c r="AP168" s="61" t="n"/>
      <c r="AQ168" s="63">
        <f>IF($A168="","",IF(AM168="","Not Enrolled",IF(TODAY()&gt;AM168,"Review Overdue",IF(AM168-TODAY()&lt;=30,"Review Due Soon","Active"))))</f>
        <v/>
      </c>
      <c r="AR168" s="63">
        <f>IF($A168="","",IF(AN168="","NOT REVIEWED",IF(TODAY()-AN168&gt;90,"OVERDUE",IF(TODAY()-AN168&gt;76,"Due Soon","Current"))))</f>
        <v/>
      </c>
    </row>
    <row r="169" ht="15" customHeight="1" s="39">
      <c r="A169" s="61" t="n"/>
      <c r="B169" s="60" t="n"/>
      <c r="C169" s="61" t="n"/>
      <c r="D169" s="60" t="n"/>
      <c r="E169" s="60" t="n"/>
      <c r="F169" s="62" t="n"/>
      <c r="G169" s="62" t="n"/>
      <c r="H169" s="60" t="n"/>
      <c r="I169" s="60" t="n"/>
      <c r="J169" s="61" t="n"/>
      <c r="K169" s="61" t="n"/>
      <c r="L169" s="61" t="n"/>
      <c r="M169" s="60" t="n"/>
      <c r="N169" s="60" t="n"/>
      <c r="O169" s="60" t="n"/>
      <c r="P169" s="61" t="n"/>
      <c r="Q169" s="60" t="n"/>
      <c r="R169" s="60" t="n"/>
      <c r="S169" s="60" t="n"/>
      <c r="T169" s="61" t="n"/>
      <c r="U169" s="61" t="n"/>
      <c r="V169" s="60" t="n"/>
      <c r="W169" s="60" t="n"/>
      <c r="X169" s="60" t="n"/>
      <c r="Y169" s="60" t="n"/>
      <c r="Z169" s="61" t="n"/>
      <c r="AA169" s="60" t="n"/>
      <c r="AB169" s="60" t="n"/>
      <c r="AC169" s="60" t="n"/>
      <c r="AD169" s="60" t="n"/>
      <c r="AE169" s="63">
        <f>IF($G169="","",TODAY()-$G169)</f>
        <v/>
      </c>
      <c r="AF169" s="63">
        <f>IF($A169="","",IF($M169&gt;0,"Yes","No"))</f>
        <v/>
      </c>
      <c r="AG169" s="63">
        <f>IF($A169="","",IF(AND($E169="Yes",OR($AA169="No",$AA169="NOT FOUND")),"YES",""))</f>
        <v/>
      </c>
      <c r="AH169" s="66">
        <f>IF($A169="","",TRIM(IF(AND($Y169=0,$I169&lt;&gt;"Yes"),"T0-NoPhishResistant ","")&amp;IF($H169="No","NoMFA ","")&amp;IF(AND($Y169=0,$M169&gt;0),"T0-Standing ","")&amp;IF(AND($Y169=0,$S169="Group only"),"T0-ViaGroupOnly ","")&amp;IF($R169="Yes","BroadAzureScope ","")&amp;IF(AND($E169="Yes",$G169=""),"NeverSignedIn ","")))</f>
        <v/>
      </c>
      <c r="AI169" s="60" t="n"/>
      <c r="AJ169" s="61" t="n"/>
      <c r="AK169" s="60" t="n"/>
      <c r="AL169" s="62" t="n"/>
      <c r="AM169" s="62" t="n"/>
      <c r="AN169" s="62" t="n"/>
      <c r="AO169" s="60" t="n"/>
      <c r="AP169" s="61" t="n"/>
      <c r="AQ169" s="63">
        <f>IF($A169="","",IF(AM169="","Not Enrolled",IF(TODAY()&gt;AM169,"Review Overdue",IF(AM169-TODAY()&lt;=30,"Review Due Soon","Active"))))</f>
        <v/>
      </c>
      <c r="AR169" s="63">
        <f>IF($A169="","",IF(AN169="","NOT REVIEWED",IF(TODAY()-AN169&gt;90,"OVERDUE",IF(TODAY()-AN169&gt;76,"Due Soon","Current"))))</f>
        <v/>
      </c>
    </row>
    <row r="170" ht="15" customHeight="1" s="39">
      <c r="A170" s="61" t="n"/>
      <c r="B170" s="60" t="n"/>
      <c r="C170" s="61" t="n"/>
      <c r="D170" s="60" t="n"/>
      <c r="E170" s="60" t="n"/>
      <c r="F170" s="62" t="n"/>
      <c r="G170" s="62" t="n"/>
      <c r="H170" s="60" t="n"/>
      <c r="I170" s="60" t="n"/>
      <c r="J170" s="61" t="n"/>
      <c r="K170" s="61" t="n"/>
      <c r="L170" s="61" t="n"/>
      <c r="M170" s="60" t="n"/>
      <c r="N170" s="60" t="n"/>
      <c r="O170" s="60" t="n"/>
      <c r="P170" s="61" t="n"/>
      <c r="Q170" s="60" t="n"/>
      <c r="R170" s="60" t="n"/>
      <c r="S170" s="60" t="n"/>
      <c r="T170" s="61" t="n"/>
      <c r="U170" s="61" t="n"/>
      <c r="V170" s="60" t="n"/>
      <c r="W170" s="60" t="n"/>
      <c r="X170" s="60" t="n"/>
      <c r="Y170" s="60" t="n"/>
      <c r="Z170" s="61" t="n"/>
      <c r="AA170" s="60" t="n"/>
      <c r="AB170" s="60" t="n"/>
      <c r="AC170" s="60" t="n"/>
      <c r="AD170" s="60" t="n"/>
      <c r="AE170" s="63">
        <f>IF($G170="","",TODAY()-$G170)</f>
        <v/>
      </c>
      <c r="AF170" s="63">
        <f>IF($A170="","",IF($M170&gt;0,"Yes","No"))</f>
        <v/>
      </c>
      <c r="AG170" s="63">
        <f>IF($A170="","",IF(AND($E170="Yes",OR($AA170="No",$AA170="NOT FOUND")),"YES",""))</f>
        <v/>
      </c>
      <c r="AH170" s="66">
        <f>IF($A170="","",TRIM(IF(AND($Y170=0,$I170&lt;&gt;"Yes"),"T0-NoPhishResistant ","")&amp;IF($H170="No","NoMFA ","")&amp;IF(AND($Y170=0,$M170&gt;0),"T0-Standing ","")&amp;IF(AND($Y170=0,$S170="Group only"),"T0-ViaGroupOnly ","")&amp;IF($R170="Yes","BroadAzureScope ","")&amp;IF(AND($E170="Yes",$G170=""),"NeverSignedIn ","")))</f>
        <v/>
      </c>
      <c r="AI170" s="60" t="n"/>
      <c r="AJ170" s="61" t="n"/>
      <c r="AK170" s="60" t="n"/>
      <c r="AL170" s="62" t="n"/>
      <c r="AM170" s="62" t="n"/>
      <c r="AN170" s="62" t="n"/>
      <c r="AO170" s="60" t="n"/>
      <c r="AP170" s="61" t="n"/>
      <c r="AQ170" s="63">
        <f>IF($A170="","",IF(AM170="","Not Enrolled",IF(TODAY()&gt;AM170,"Review Overdue",IF(AM170-TODAY()&lt;=30,"Review Due Soon","Active"))))</f>
        <v/>
      </c>
      <c r="AR170" s="63">
        <f>IF($A170="","",IF(AN170="","NOT REVIEWED",IF(TODAY()-AN170&gt;90,"OVERDUE",IF(TODAY()-AN170&gt;76,"Due Soon","Current"))))</f>
        <v/>
      </c>
    </row>
    <row r="171" ht="15" customHeight="1" s="39">
      <c r="A171" s="61" t="n"/>
      <c r="B171" s="60" t="n"/>
      <c r="C171" s="61" t="n"/>
      <c r="D171" s="60" t="n"/>
      <c r="E171" s="60" t="n"/>
      <c r="F171" s="62" t="n"/>
      <c r="G171" s="62" t="n"/>
      <c r="H171" s="60" t="n"/>
      <c r="I171" s="60" t="n"/>
      <c r="J171" s="61" t="n"/>
      <c r="K171" s="61" t="n"/>
      <c r="L171" s="61" t="n"/>
      <c r="M171" s="60" t="n"/>
      <c r="N171" s="60" t="n"/>
      <c r="O171" s="60" t="n"/>
      <c r="P171" s="61" t="n"/>
      <c r="Q171" s="60" t="n"/>
      <c r="R171" s="60" t="n"/>
      <c r="S171" s="60" t="n"/>
      <c r="T171" s="61" t="n"/>
      <c r="U171" s="61" t="n"/>
      <c r="V171" s="60" t="n"/>
      <c r="W171" s="60" t="n"/>
      <c r="X171" s="60" t="n"/>
      <c r="Y171" s="60" t="n"/>
      <c r="Z171" s="61" t="n"/>
      <c r="AA171" s="60" t="n"/>
      <c r="AB171" s="60" t="n"/>
      <c r="AC171" s="60" t="n"/>
      <c r="AD171" s="60" t="n"/>
      <c r="AE171" s="63">
        <f>IF($G171="","",TODAY()-$G171)</f>
        <v/>
      </c>
      <c r="AF171" s="63">
        <f>IF($A171="","",IF($M171&gt;0,"Yes","No"))</f>
        <v/>
      </c>
      <c r="AG171" s="63">
        <f>IF($A171="","",IF(AND($E171="Yes",OR($AA171="No",$AA171="NOT FOUND")),"YES",""))</f>
        <v/>
      </c>
      <c r="AH171" s="66">
        <f>IF($A171="","",TRIM(IF(AND($Y171=0,$I171&lt;&gt;"Yes"),"T0-NoPhishResistant ","")&amp;IF($H171="No","NoMFA ","")&amp;IF(AND($Y171=0,$M171&gt;0),"T0-Standing ","")&amp;IF(AND($Y171=0,$S171="Group only"),"T0-ViaGroupOnly ","")&amp;IF($R171="Yes","BroadAzureScope ","")&amp;IF(AND($E171="Yes",$G171=""),"NeverSignedIn ","")))</f>
        <v/>
      </c>
      <c r="AI171" s="60" t="n"/>
      <c r="AJ171" s="61" t="n"/>
      <c r="AK171" s="60" t="n"/>
      <c r="AL171" s="62" t="n"/>
      <c r="AM171" s="62" t="n"/>
      <c r="AN171" s="62" t="n"/>
      <c r="AO171" s="60" t="n"/>
      <c r="AP171" s="61" t="n"/>
      <c r="AQ171" s="63">
        <f>IF($A171="","",IF(AM171="","Not Enrolled",IF(TODAY()&gt;AM171,"Review Overdue",IF(AM171-TODAY()&lt;=30,"Review Due Soon","Active"))))</f>
        <v/>
      </c>
      <c r="AR171" s="63">
        <f>IF($A171="","",IF(AN171="","NOT REVIEWED",IF(TODAY()-AN171&gt;90,"OVERDUE",IF(TODAY()-AN171&gt;76,"Due Soon","Current"))))</f>
        <v/>
      </c>
    </row>
    <row r="172" ht="15" customHeight="1" s="39">
      <c r="A172" s="61" t="n"/>
      <c r="B172" s="60" t="n"/>
      <c r="C172" s="61" t="n"/>
      <c r="D172" s="60" t="n"/>
      <c r="E172" s="60" t="n"/>
      <c r="F172" s="62" t="n"/>
      <c r="G172" s="62" t="n"/>
      <c r="H172" s="60" t="n"/>
      <c r="I172" s="60" t="n"/>
      <c r="J172" s="61" t="n"/>
      <c r="K172" s="61" t="n"/>
      <c r="L172" s="61" t="n"/>
      <c r="M172" s="60" t="n"/>
      <c r="N172" s="60" t="n"/>
      <c r="O172" s="60" t="n"/>
      <c r="P172" s="61" t="n"/>
      <c r="Q172" s="60" t="n"/>
      <c r="R172" s="60" t="n"/>
      <c r="S172" s="60" t="n"/>
      <c r="T172" s="61" t="n"/>
      <c r="U172" s="61" t="n"/>
      <c r="V172" s="60" t="n"/>
      <c r="W172" s="60" t="n"/>
      <c r="X172" s="60" t="n"/>
      <c r="Y172" s="60" t="n"/>
      <c r="Z172" s="61" t="n"/>
      <c r="AA172" s="60" t="n"/>
      <c r="AB172" s="60" t="n"/>
      <c r="AC172" s="60" t="n"/>
      <c r="AD172" s="60" t="n"/>
      <c r="AE172" s="63">
        <f>IF($G172="","",TODAY()-$G172)</f>
        <v/>
      </c>
      <c r="AF172" s="63">
        <f>IF($A172="","",IF($M172&gt;0,"Yes","No"))</f>
        <v/>
      </c>
      <c r="AG172" s="63">
        <f>IF($A172="","",IF(AND($E172="Yes",OR($AA172="No",$AA172="NOT FOUND")),"YES",""))</f>
        <v/>
      </c>
      <c r="AH172" s="66">
        <f>IF($A172="","",TRIM(IF(AND($Y172=0,$I172&lt;&gt;"Yes"),"T0-NoPhishResistant ","")&amp;IF($H172="No","NoMFA ","")&amp;IF(AND($Y172=0,$M172&gt;0),"T0-Standing ","")&amp;IF(AND($Y172=0,$S172="Group only"),"T0-ViaGroupOnly ","")&amp;IF($R172="Yes","BroadAzureScope ","")&amp;IF(AND($E172="Yes",$G172=""),"NeverSignedIn ","")))</f>
        <v/>
      </c>
      <c r="AI172" s="60" t="n"/>
      <c r="AJ172" s="61" t="n"/>
      <c r="AK172" s="60" t="n"/>
      <c r="AL172" s="62" t="n"/>
      <c r="AM172" s="62" t="n"/>
      <c r="AN172" s="62" t="n"/>
      <c r="AO172" s="60" t="n"/>
      <c r="AP172" s="61" t="n"/>
      <c r="AQ172" s="63">
        <f>IF($A172="","",IF(AM172="","Not Enrolled",IF(TODAY()&gt;AM172,"Review Overdue",IF(AM172-TODAY()&lt;=30,"Review Due Soon","Active"))))</f>
        <v/>
      </c>
      <c r="AR172" s="63">
        <f>IF($A172="","",IF(AN172="","NOT REVIEWED",IF(TODAY()-AN172&gt;90,"OVERDUE",IF(TODAY()-AN172&gt;76,"Due Soon","Current"))))</f>
        <v/>
      </c>
    </row>
    <row r="173" ht="15" customHeight="1" s="39">
      <c r="A173" s="61" t="n"/>
      <c r="B173" s="60" t="n"/>
      <c r="C173" s="61" t="n"/>
      <c r="D173" s="60" t="n"/>
      <c r="E173" s="60" t="n"/>
      <c r="F173" s="62" t="n"/>
      <c r="G173" s="62" t="n"/>
      <c r="H173" s="60" t="n"/>
      <c r="I173" s="60" t="n"/>
      <c r="J173" s="61" t="n"/>
      <c r="K173" s="61" t="n"/>
      <c r="L173" s="61" t="n"/>
      <c r="M173" s="60" t="n"/>
      <c r="N173" s="60" t="n"/>
      <c r="O173" s="60" t="n"/>
      <c r="P173" s="61" t="n"/>
      <c r="Q173" s="60" t="n"/>
      <c r="R173" s="60" t="n"/>
      <c r="S173" s="60" t="n"/>
      <c r="T173" s="61" t="n"/>
      <c r="U173" s="61" t="n"/>
      <c r="V173" s="60" t="n"/>
      <c r="W173" s="60" t="n"/>
      <c r="X173" s="60" t="n"/>
      <c r="Y173" s="60" t="n"/>
      <c r="Z173" s="61" t="n"/>
      <c r="AA173" s="60" t="n"/>
      <c r="AB173" s="60" t="n"/>
      <c r="AC173" s="60" t="n"/>
      <c r="AD173" s="60" t="n"/>
      <c r="AE173" s="63">
        <f>IF($G173="","",TODAY()-$G173)</f>
        <v/>
      </c>
      <c r="AF173" s="63">
        <f>IF($A173="","",IF($M173&gt;0,"Yes","No"))</f>
        <v/>
      </c>
      <c r="AG173" s="63">
        <f>IF($A173="","",IF(AND($E173="Yes",OR($AA173="No",$AA173="NOT FOUND")),"YES",""))</f>
        <v/>
      </c>
      <c r="AH173" s="66">
        <f>IF($A173="","",TRIM(IF(AND($Y173=0,$I173&lt;&gt;"Yes"),"T0-NoPhishResistant ","")&amp;IF($H173="No","NoMFA ","")&amp;IF(AND($Y173=0,$M173&gt;0),"T0-Standing ","")&amp;IF(AND($Y173=0,$S173="Group only"),"T0-ViaGroupOnly ","")&amp;IF($R173="Yes","BroadAzureScope ","")&amp;IF(AND($E173="Yes",$G173=""),"NeverSignedIn ","")))</f>
        <v/>
      </c>
      <c r="AI173" s="60" t="n"/>
      <c r="AJ173" s="61" t="n"/>
      <c r="AK173" s="60" t="n"/>
      <c r="AL173" s="62" t="n"/>
      <c r="AM173" s="62" t="n"/>
      <c r="AN173" s="62" t="n"/>
      <c r="AO173" s="60" t="n"/>
      <c r="AP173" s="61" t="n"/>
      <c r="AQ173" s="63">
        <f>IF($A173="","",IF(AM173="","Not Enrolled",IF(TODAY()&gt;AM173,"Review Overdue",IF(AM173-TODAY()&lt;=30,"Review Due Soon","Active"))))</f>
        <v/>
      </c>
      <c r="AR173" s="63">
        <f>IF($A173="","",IF(AN173="","NOT REVIEWED",IF(TODAY()-AN173&gt;90,"OVERDUE",IF(TODAY()-AN173&gt;76,"Due Soon","Current"))))</f>
        <v/>
      </c>
    </row>
    <row r="174" ht="15" customHeight="1" s="39">
      <c r="A174" s="61" t="n"/>
      <c r="B174" s="60" t="n"/>
      <c r="C174" s="61" t="n"/>
      <c r="D174" s="60" t="n"/>
      <c r="E174" s="60" t="n"/>
      <c r="F174" s="62" t="n"/>
      <c r="G174" s="62" t="n"/>
      <c r="H174" s="60" t="n"/>
      <c r="I174" s="60" t="n"/>
      <c r="J174" s="61" t="n"/>
      <c r="K174" s="61" t="n"/>
      <c r="L174" s="61" t="n"/>
      <c r="M174" s="60" t="n"/>
      <c r="N174" s="60" t="n"/>
      <c r="O174" s="60" t="n"/>
      <c r="P174" s="61" t="n"/>
      <c r="Q174" s="60" t="n"/>
      <c r="R174" s="60" t="n"/>
      <c r="S174" s="60" t="n"/>
      <c r="T174" s="61" t="n"/>
      <c r="U174" s="61" t="n"/>
      <c r="V174" s="60" t="n"/>
      <c r="W174" s="60" t="n"/>
      <c r="X174" s="60" t="n"/>
      <c r="Y174" s="60" t="n"/>
      <c r="Z174" s="61" t="n"/>
      <c r="AA174" s="60" t="n"/>
      <c r="AB174" s="60" t="n"/>
      <c r="AC174" s="60" t="n"/>
      <c r="AD174" s="60" t="n"/>
      <c r="AE174" s="63">
        <f>IF($G174="","",TODAY()-$G174)</f>
        <v/>
      </c>
      <c r="AF174" s="63">
        <f>IF($A174="","",IF($M174&gt;0,"Yes","No"))</f>
        <v/>
      </c>
      <c r="AG174" s="63">
        <f>IF($A174="","",IF(AND($E174="Yes",OR($AA174="No",$AA174="NOT FOUND")),"YES",""))</f>
        <v/>
      </c>
      <c r="AH174" s="66">
        <f>IF($A174="","",TRIM(IF(AND($Y174=0,$I174&lt;&gt;"Yes"),"T0-NoPhishResistant ","")&amp;IF($H174="No","NoMFA ","")&amp;IF(AND($Y174=0,$M174&gt;0),"T0-Standing ","")&amp;IF(AND($Y174=0,$S174="Group only"),"T0-ViaGroupOnly ","")&amp;IF($R174="Yes","BroadAzureScope ","")&amp;IF(AND($E174="Yes",$G174=""),"NeverSignedIn ","")))</f>
        <v/>
      </c>
      <c r="AI174" s="60" t="n"/>
      <c r="AJ174" s="61" t="n"/>
      <c r="AK174" s="60" t="n"/>
      <c r="AL174" s="62" t="n"/>
      <c r="AM174" s="62" t="n"/>
      <c r="AN174" s="62" t="n"/>
      <c r="AO174" s="60" t="n"/>
      <c r="AP174" s="61" t="n"/>
      <c r="AQ174" s="63">
        <f>IF($A174="","",IF(AM174="","Not Enrolled",IF(TODAY()&gt;AM174,"Review Overdue",IF(AM174-TODAY()&lt;=30,"Review Due Soon","Active"))))</f>
        <v/>
      </c>
      <c r="AR174" s="63">
        <f>IF($A174="","",IF(AN174="","NOT REVIEWED",IF(TODAY()-AN174&gt;90,"OVERDUE",IF(TODAY()-AN174&gt;76,"Due Soon","Current"))))</f>
        <v/>
      </c>
    </row>
    <row r="175" ht="15" customHeight="1" s="39">
      <c r="A175" s="61" t="n"/>
      <c r="B175" s="60" t="n"/>
      <c r="C175" s="61" t="n"/>
      <c r="D175" s="60" t="n"/>
      <c r="E175" s="60" t="n"/>
      <c r="F175" s="62" t="n"/>
      <c r="G175" s="62" t="n"/>
      <c r="H175" s="60" t="n"/>
      <c r="I175" s="60" t="n"/>
      <c r="J175" s="61" t="n"/>
      <c r="K175" s="61" t="n"/>
      <c r="L175" s="61" t="n"/>
      <c r="M175" s="60" t="n"/>
      <c r="N175" s="60" t="n"/>
      <c r="O175" s="60" t="n"/>
      <c r="P175" s="61" t="n"/>
      <c r="Q175" s="60" t="n"/>
      <c r="R175" s="60" t="n"/>
      <c r="S175" s="60" t="n"/>
      <c r="T175" s="61" t="n"/>
      <c r="U175" s="61" t="n"/>
      <c r="V175" s="60" t="n"/>
      <c r="W175" s="60" t="n"/>
      <c r="X175" s="60" t="n"/>
      <c r="Y175" s="60" t="n"/>
      <c r="Z175" s="61" t="n"/>
      <c r="AA175" s="60" t="n"/>
      <c r="AB175" s="60" t="n"/>
      <c r="AC175" s="60" t="n"/>
      <c r="AD175" s="60" t="n"/>
      <c r="AE175" s="63">
        <f>IF($G175="","",TODAY()-$G175)</f>
        <v/>
      </c>
      <c r="AF175" s="63">
        <f>IF($A175="","",IF($M175&gt;0,"Yes","No"))</f>
        <v/>
      </c>
      <c r="AG175" s="63">
        <f>IF($A175="","",IF(AND($E175="Yes",OR($AA175="No",$AA175="NOT FOUND")),"YES",""))</f>
        <v/>
      </c>
      <c r="AH175" s="66">
        <f>IF($A175="","",TRIM(IF(AND($Y175=0,$I175&lt;&gt;"Yes"),"T0-NoPhishResistant ","")&amp;IF($H175="No","NoMFA ","")&amp;IF(AND($Y175=0,$M175&gt;0),"T0-Standing ","")&amp;IF(AND($Y175=0,$S175="Group only"),"T0-ViaGroupOnly ","")&amp;IF($R175="Yes","BroadAzureScope ","")&amp;IF(AND($E175="Yes",$G175=""),"NeverSignedIn ","")))</f>
        <v/>
      </c>
      <c r="AI175" s="60" t="n"/>
      <c r="AJ175" s="61" t="n"/>
      <c r="AK175" s="60" t="n"/>
      <c r="AL175" s="62" t="n"/>
      <c r="AM175" s="62" t="n"/>
      <c r="AN175" s="62" t="n"/>
      <c r="AO175" s="60" t="n"/>
      <c r="AP175" s="61" t="n"/>
      <c r="AQ175" s="63">
        <f>IF($A175="","",IF(AM175="","Not Enrolled",IF(TODAY()&gt;AM175,"Review Overdue",IF(AM175-TODAY()&lt;=30,"Review Due Soon","Active"))))</f>
        <v/>
      </c>
      <c r="AR175" s="63">
        <f>IF($A175="","",IF(AN175="","NOT REVIEWED",IF(TODAY()-AN175&gt;90,"OVERDUE",IF(TODAY()-AN175&gt;76,"Due Soon","Current"))))</f>
        <v/>
      </c>
    </row>
    <row r="176" ht="15" customHeight="1" s="39">
      <c r="A176" s="61" t="n"/>
      <c r="B176" s="60" t="n"/>
      <c r="C176" s="61" t="n"/>
      <c r="D176" s="60" t="n"/>
      <c r="E176" s="60" t="n"/>
      <c r="F176" s="62" t="n"/>
      <c r="G176" s="62" t="n"/>
      <c r="H176" s="60" t="n"/>
      <c r="I176" s="60" t="n"/>
      <c r="J176" s="61" t="n"/>
      <c r="K176" s="61" t="n"/>
      <c r="L176" s="61" t="n"/>
      <c r="M176" s="60" t="n"/>
      <c r="N176" s="60" t="n"/>
      <c r="O176" s="60" t="n"/>
      <c r="P176" s="61" t="n"/>
      <c r="Q176" s="60" t="n"/>
      <c r="R176" s="60" t="n"/>
      <c r="S176" s="60" t="n"/>
      <c r="T176" s="61" t="n"/>
      <c r="U176" s="61" t="n"/>
      <c r="V176" s="60" t="n"/>
      <c r="W176" s="60" t="n"/>
      <c r="X176" s="60" t="n"/>
      <c r="Y176" s="60" t="n"/>
      <c r="Z176" s="61" t="n"/>
      <c r="AA176" s="60" t="n"/>
      <c r="AB176" s="60" t="n"/>
      <c r="AC176" s="60" t="n"/>
      <c r="AD176" s="60" t="n"/>
      <c r="AE176" s="63">
        <f>IF($G176="","",TODAY()-$G176)</f>
        <v/>
      </c>
      <c r="AF176" s="63">
        <f>IF($A176="","",IF($M176&gt;0,"Yes","No"))</f>
        <v/>
      </c>
      <c r="AG176" s="63">
        <f>IF($A176="","",IF(AND($E176="Yes",OR($AA176="No",$AA176="NOT FOUND")),"YES",""))</f>
        <v/>
      </c>
      <c r="AH176" s="66">
        <f>IF($A176="","",TRIM(IF(AND($Y176=0,$I176&lt;&gt;"Yes"),"T0-NoPhishResistant ","")&amp;IF($H176="No","NoMFA ","")&amp;IF(AND($Y176=0,$M176&gt;0),"T0-Standing ","")&amp;IF(AND($Y176=0,$S176="Group only"),"T0-ViaGroupOnly ","")&amp;IF($R176="Yes","BroadAzureScope ","")&amp;IF(AND($E176="Yes",$G176=""),"NeverSignedIn ","")))</f>
        <v/>
      </c>
      <c r="AI176" s="60" t="n"/>
      <c r="AJ176" s="61" t="n"/>
      <c r="AK176" s="60" t="n"/>
      <c r="AL176" s="62" t="n"/>
      <c r="AM176" s="62" t="n"/>
      <c r="AN176" s="62" t="n"/>
      <c r="AO176" s="60" t="n"/>
      <c r="AP176" s="61" t="n"/>
      <c r="AQ176" s="63">
        <f>IF($A176="","",IF(AM176="","Not Enrolled",IF(TODAY()&gt;AM176,"Review Overdue",IF(AM176-TODAY()&lt;=30,"Review Due Soon","Active"))))</f>
        <v/>
      </c>
      <c r="AR176" s="63">
        <f>IF($A176="","",IF(AN176="","NOT REVIEWED",IF(TODAY()-AN176&gt;90,"OVERDUE",IF(TODAY()-AN176&gt;76,"Due Soon","Current"))))</f>
        <v/>
      </c>
    </row>
    <row r="177" ht="15" customHeight="1" s="39">
      <c r="A177" s="61" t="n"/>
      <c r="B177" s="60" t="n"/>
      <c r="C177" s="61" t="n"/>
      <c r="D177" s="60" t="n"/>
      <c r="E177" s="60" t="n"/>
      <c r="F177" s="62" t="n"/>
      <c r="G177" s="62" t="n"/>
      <c r="H177" s="60" t="n"/>
      <c r="I177" s="60" t="n"/>
      <c r="J177" s="61" t="n"/>
      <c r="K177" s="61" t="n"/>
      <c r="L177" s="61" t="n"/>
      <c r="M177" s="60" t="n"/>
      <c r="N177" s="60" t="n"/>
      <c r="O177" s="60" t="n"/>
      <c r="P177" s="61" t="n"/>
      <c r="Q177" s="60" t="n"/>
      <c r="R177" s="60" t="n"/>
      <c r="S177" s="60" t="n"/>
      <c r="T177" s="61" t="n"/>
      <c r="U177" s="61" t="n"/>
      <c r="V177" s="60" t="n"/>
      <c r="W177" s="60" t="n"/>
      <c r="X177" s="60" t="n"/>
      <c r="Y177" s="60" t="n"/>
      <c r="Z177" s="61" t="n"/>
      <c r="AA177" s="60" t="n"/>
      <c r="AB177" s="60" t="n"/>
      <c r="AC177" s="60" t="n"/>
      <c r="AD177" s="60" t="n"/>
      <c r="AE177" s="63">
        <f>IF($G177="","",TODAY()-$G177)</f>
        <v/>
      </c>
      <c r="AF177" s="63">
        <f>IF($A177="","",IF($M177&gt;0,"Yes","No"))</f>
        <v/>
      </c>
      <c r="AG177" s="63">
        <f>IF($A177="","",IF(AND($E177="Yes",OR($AA177="No",$AA177="NOT FOUND")),"YES",""))</f>
        <v/>
      </c>
      <c r="AH177" s="66">
        <f>IF($A177="","",TRIM(IF(AND($Y177=0,$I177&lt;&gt;"Yes"),"T0-NoPhishResistant ","")&amp;IF($H177="No","NoMFA ","")&amp;IF(AND($Y177=0,$M177&gt;0),"T0-Standing ","")&amp;IF(AND($Y177=0,$S177="Group only"),"T0-ViaGroupOnly ","")&amp;IF($R177="Yes","BroadAzureScope ","")&amp;IF(AND($E177="Yes",$G177=""),"NeverSignedIn ","")))</f>
        <v/>
      </c>
      <c r="AI177" s="60" t="n"/>
      <c r="AJ177" s="61" t="n"/>
      <c r="AK177" s="60" t="n"/>
      <c r="AL177" s="62" t="n"/>
      <c r="AM177" s="62" t="n"/>
      <c r="AN177" s="62" t="n"/>
      <c r="AO177" s="60" t="n"/>
      <c r="AP177" s="61" t="n"/>
      <c r="AQ177" s="63">
        <f>IF($A177="","",IF(AM177="","Not Enrolled",IF(TODAY()&gt;AM177,"Review Overdue",IF(AM177-TODAY()&lt;=30,"Review Due Soon","Active"))))</f>
        <v/>
      </c>
      <c r="AR177" s="63">
        <f>IF($A177="","",IF(AN177="","NOT REVIEWED",IF(TODAY()-AN177&gt;90,"OVERDUE",IF(TODAY()-AN177&gt;76,"Due Soon","Current"))))</f>
        <v/>
      </c>
    </row>
    <row r="178" ht="15" customHeight="1" s="39">
      <c r="A178" s="61" t="n"/>
      <c r="B178" s="60" t="n"/>
      <c r="C178" s="61" t="n"/>
      <c r="D178" s="60" t="n"/>
      <c r="E178" s="60" t="n"/>
      <c r="F178" s="62" t="n"/>
      <c r="G178" s="62" t="n"/>
      <c r="H178" s="60" t="n"/>
      <c r="I178" s="60" t="n"/>
      <c r="J178" s="61" t="n"/>
      <c r="K178" s="61" t="n"/>
      <c r="L178" s="61" t="n"/>
      <c r="M178" s="60" t="n"/>
      <c r="N178" s="60" t="n"/>
      <c r="O178" s="60" t="n"/>
      <c r="P178" s="61" t="n"/>
      <c r="Q178" s="60" t="n"/>
      <c r="R178" s="60" t="n"/>
      <c r="S178" s="60" t="n"/>
      <c r="T178" s="61" t="n"/>
      <c r="U178" s="61" t="n"/>
      <c r="V178" s="60" t="n"/>
      <c r="W178" s="60" t="n"/>
      <c r="X178" s="60" t="n"/>
      <c r="Y178" s="60" t="n"/>
      <c r="Z178" s="61" t="n"/>
      <c r="AA178" s="60" t="n"/>
      <c r="AB178" s="60" t="n"/>
      <c r="AC178" s="60" t="n"/>
      <c r="AD178" s="60" t="n"/>
      <c r="AE178" s="63">
        <f>IF($G178="","",TODAY()-$G178)</f>
        <v/>
      </c>
      <c r="AF178" s="63">
        <f>IF($A178="","",IF($M178&gt;0,"Yes","No"))</f>
        <v/>
      </c>
      <c r="AG178" s="63">
        <f>IF($A178="","",IF(AND($E178="Yes",OR($AA178="No",$AA178="NOT FOUND")),"YES",""))</f>
        <v/>
      </c>
      <c r="AH178" s="66">
        <f>IF($A178="","",TRIM(IF(AND($Y178=0,$I178&lt;&gt;"Yes"),"T0-NoPhishResistant ","")&amp;IF($H178="No","NoMFA ","")&amp;IF(AND($Y178=0,$M178&gt;0),"T0-Standing ","")&amp;IF(AND($Y178=0,$S178="Group only"),"T0-ViaGroupOnly ","")&amp;IF($R178="Yes","BroadAzureScope ","")&amp;IF(AND($E178="Yes",$G178=""),"NeverSignedIn ","")))</f>
        <v/>
      </c>
      <c r="AI178" s="60" t="n"/>
      <c r="AJ178" s="61" t="n"/>
      <c r="AK178" s="60" t="n"/>
      <c r="AL178" s="62" t="n"/>
      <c r="AM178" s="62" t="n"/>
      <c r="AN178" s="62" t="n"/>
      <c r="AO178" s="60" t="n"/>
      <c r="AP178" s="61" t="n"/>
      <c r="AQ178" s="63">
        <f>IF($A178="","",IF(AM178="","Not Enrolled",IF(TODAY()&gt;AM178,"Review Overdue",IF(AM178-TODAY()&lt;=30,"Review Due Soon","Active"))))</f>
        <v/>
      </c>
      <c r="AR178" s="63">
        <f>IF($A178="","",IF(AN178="","NOT REVIEWED",IF(TODAY()-AN178&gt;90,"OVERDUE",IF(TODAY()-AN178&gt;76,"Due Soon","Current"))))</f>
        <v/>
      </c>
    </row>
    <row r="179" ht="15" customHeight="1" s="39">
      <c r="A179" s="61" t="n"/>
      <c r="B179" s="60" t="n"/>
      <c r="C179" s="61" t="n"/>
      <c r="D179" s="60" t="n"/>
      <c r="E179" s="60" t="n"/>
      <c r="F179" s="62" t="n"/>
      <c r="G179" s="62" t="n"/>
      <c r="H179" s="60" t="n"/>
      <c r="I179" s="60" t="n"/>
      <c r="J179" s="61" t="n"/>
      <c r="K179" s="61" t="n"/>
      <c r="L179" s="61" t="n"/>
      <c r="M179" s="60" t="n"/>
      <c r="N179" s="60" t="n"/>
      <c r="O179" s="60" t="n"/>
      <c r="P179" s="61" t="n"/>
      <c r="Q179" s="60" t="n"/>
      <c r="R179" s="60" t="n"/>
      <c r="S179" s="60" t="n"/>
      <c r="T179" s="61" t="n"/>
      <c r="U179" s="61" t="n"/>
      <c r="V179" s="60" t="n"/>
      <c r="W179" s="60" t="n"/>
      <c r="X179" s="60" t="n"/>
      <c r="Y179" s="60" t="n"/>
      <c r="Z179" s="61" t="n"/>
      <c r="AA179" s="60" t="n"/>
      <c r="AB179" s="60" t="n"/>
      <c r="AC179" s="60" t="n"/>
      <c r="AD179" s="60" t="n"/>
      <c r="AE179" s="63">
        <f>IF($G179="","",TODAY()-$G179)</f>
        <v/>
      </c>
      <c r="AF179" s="63">
        <f>IF($A179="","",IF($M179&gt;0,"Yes","No"))</f>
        <v/>
      </c>
      <c r="AG179" s="63">
        <f>IF($A179="","",IF(AND($E179="Yes",OR($AA179="No",$AA179="NOT FOUND")),"YES",""))</f>
        <v/>
      </c>
      <c r="AH179" s="66">
        <f>IF($A179="","",TRIM(IF(AND($Y179=0,$I179&lt;&gt;"Yes"),"T0-NoPhishResistant ","")&amp;IF($H179="No","NoMFA ","")&amp;IF(AND($Y179=0,$M179&gt;0),"T0-Standing ","")&amp;IF(AND($Y179=0,$S179="Group only"),"T0-ViaGroupOnly ","")&amp;IF($R179="Yes","BroadAzureScope ","")&amp;IF(AND($E179="Yes",$G179=""),"NeverSignedIn ","")))</f>
        <v/>
      </c>
      <c r="AI179" s="60" t="n"/>
      <c r="AJ179" s="61" t="n"/>
      <c r="AK179" s="60" t="n"/>
      <c r="AL179" s="62" t="n"/>
      <c r="AM179" s="62" t="n"/>
      <c r="AN179" s="62" t="n"/>
      <c r="AO179" s="60" t="n"/>
      <c r="AP179" s="61" t="n"/>
      <c r="AQ179" s="63">
        <f>IF($A179="","",IF(AM179="","Not Enrolled",IF(TODAY()&gt;AM179,"Review Overdue",IF(AM179-TODAY()&lt;=30,"Review Due Soon","Active"))))</f>
        <v/>
      </c>
      <c r="AR179" s="63">
        <f>IF($A179="","",IF(AN179="","NOT REVIEWED",IF(TODAY()-AN179&gt;90,"OVERDUE",IF(TODAY()-AN179&gt;76,"Due Soon","Current"))))</f>
        <v/>
      </c>
    </row>
    <row r="180" ht="15" customHeight="1" s="39">
      <c r="A180" s="61" t="n"/>
      <c r="B180" s="60" t="n"/>
      <c r="C180" s="61" t="n"/>
      <c r="D180" s="60" t="n"/>
      <c r="E180" s="60" t="n"/>
      <c r="F180" s="62" t="n"/>
      <c r="G180" s="62" t="n"/>
      <c r="H180" s="60" t="n"/>
      <c r="I180" s="60" t="n"/>
      <c r="J180" s="61" t="n"/>
      <c r="K180" s="61" t="n"/>
      <c r="L180" s="61" t="n"/>
      <c r="M180" s="60" t="n"/>
      <c r="N180" s="60" t="n"/>
      <c r="O180" s="60" t="n"/>
      <c r="P180" s="61" t="n"/>
      <c r="Q180" s="60" t="n"/>
      <c r="R180" s="60" t="n"/>
      <c r="S180" s="60" t="n"/>
      <c r="T180" s="61" t="n"/>
      <c r="U180" s="61" t="n"/>
      <c r="V180" s="60" t="n"/>
      <c r="W180" s="60" t="n"/>
      <c r="X180" s="60" t="n"/>
      <c r="Y180" s="60" t="n"/>
      <c r="Z180" s="61" t="n"/>
      <c r="AA180" s="60" t="n"/>
      <c r="AB180" s="60" t="n"/>
      <c r="AC180" s="60" t="n"/>
      <c r="AD180" s="60" t="n"/>
      <c r="AE180" s="63">
        <f>IF($G180="","",TODAY()-$G180)</f>
        <v/>
      </c>
      <c r="AF180" s="63">
        <f>IF($A180="","",IF($M180&gt;0,"Yes","No"))</f>
        <v/>
      </c>
      <c r="AG180" s="63">
        <f>IF($A180="","",IF(AND($E180="Yes",OR($AA180="No",$AA180="NOT FOUND")),"YES",""))</f>
        <v/>
      </c>
      <c r="AH180" s="66">
        <f>IF($A180="","",TRIM(IF(AND($Y180=0,$I180&lt;&gt;"Yes"),"T0-NoPhishResistant ","")&amp;IF($H180="No","NoMFA ","")&amp;IF(AND($Y180=0,$M180&gt;0),"T0-Standing ","")&amp;IF(AND($Y180=0,$S180="Group only"),"T0-ViaGroupOnly ","")&amp;IF($R180="Yes","BroadAzureScope ","")&amp;IF(AND($E180="Yes",$G180=""),"NeverSignedIn ","")))</f>
        <v/>
      </c>
      <c r="AI180" s="60" t="n"/>
      <c r="AJ180" s="61" t="n"/>
      <c r="AK180" s="60" t="n"/>
      <c r="AL180" s="62" t="n"/>
      <c r="AM180" s="62" t="n"/>
      <c r="AN180" s="62" t="n"/>
      <c r="AO180" s="60" t="n"/>
      <c r="AP180" s="61" t="n"/>
      <c r="AQ180" s="63">
        <f>IF($A180="","",IF(AM180="","Not Enrolled",IF(TODAY()&gt;AM180,"Review Overdue",IF(AM180-TODAY()&lt;=30,"Review Due Soon","Active"))))</f>
        <v/>
      </c>
      <c r="AR180" s="63">
        <f>IF($A180="","",IF(AN180="","NOT REVIEWED",IF(TODAY()-AN180&gt;90,"OVERDUE",IF(TODAY()-AN180&gt;76,"Due Soon","Current"))))</f>
        <v/>
      </c>
    </row>
    <row r="181" ht="15" customHeight="1" s="39">
      <c r="A181" s="61" t="n"/>
      <c r="B181" s="60" t="n"/>
      <c r="C181" s="61" t="n"/>
      <c r="D181" s="60" t="n"/>
      <c r="E181" s="60" t="n"/>
      <c r="F181" s="62" t="n"/>
      <c r="G181" s="62" t="n"/>
      <c r="H181" s="60" t="n"/>
      <c r="I181" s="60" t="n"/>
      <c r="J181" s="61" t="n"/>
      <c r="K181" s="61" t="n"/>
      <c r="L181" s="61" t="n"/>
      <c r="M181" s="60" t="n"/>
      <c r="N181" s="60" t="n"/>
      <c r="O181" s="60" t="n"/>
      <c r="P181" s="61" t="n"/>
      <c r="Q181" s="60" t="n"/>
      <c r="R181" s="60" t="n"/>
      <c r="S181" s="60" t="n"/>
      <c r="T181" s="61" t="n"/>
      <c r="U181" s="61" t="n"/>
      <c r="V181" s="60" t="n"/>
      <c r="W181" s="60" t="n"/>
      <c r="X181" s="60" t="n"/>
      <c r="Y181" s="60" t="n"/>
      <c r="Z181" s="61" t="n"/>
      <c r="AA181" s="60" t="n"/>
      <c r="AB181" s="60" t="n"/>
      <c r="AC181" s="60" t="n"/>
      <c r="AD181" s="60" t="n"/>
      <c r="AE181" s="63">
        <f>IF($G181="","",TODAY()-$G181)</f>
        <v/>
      </c>
      <c r="AF181" s="63">
        <f>IF($A181="","",IF($M181&gt;0,"Yes","No"))</f>
        <v/>
      </c>
      <c r="AG181" s="63">
        <f>IF($A181="","",IF(AND($E181="Yes",OR($AA181="No",$AA181="NOT FOUND")),"YES",""))</f>
        <v/>
      </c>
      <c r="AH181" s="66">
        <f>IF($A181="","",TRIM(IF(AND($Y181=0,$I181&lt;&gt;"Yes"),"T0-NoPhishResistant ","")&amp;IF($H181="No","NoMFA ","")&amp;IF(AND($Y181=0,$M181&gt;0),"T0-Standing ","")&amp;IF(AND($Y181=0,$S181="Group only"),"T0-ViaGroupOnly ","")&amp;IF($R181="Yes","BroadAzureScope ","")&amp;IF(AND($E181="Yes",$G181=""),"NeverSignedIn ","")))</f>
        <v/>
      </c>
      <c r="AI181" s="60" t="n"/>
      <c r="AJ181" s="61" t="n"/>
      <c r="AK181" s="60" t="n"/>
      <c r="AL181" s="62" t="n"/>
      <c r="AM181" s="62" t="n"/>
      <c r="AN181" s="62" t="n"/>
      <c r="AO181" s="60" t="n"/>
      <c r="AP181" s="61" t="n"/>
      <c r="AQ181" s="63">
        <f>IF($A181="","",IF(AM181="","Not Enrolled",IF(TODAY()&gt;AM181,"Review Overdue",IF(AM181-TODAY()&lt;=30,"Review Due Soon","Active"))))</f>
        <v/>
      </c>
      <c r="AR181" s="63">
        <f>IF($A181="","",IF(AN181="","NOT REVIEWED",IF(TODAY()-AN181&gt;90,"OVERDUE",IF(TODAY()-AN181&gt;76,"Due Soon","Current"))))</f>
        <v/>
      </c>
    </row>
    <row r="182" ht="15" customHeight="1" s="39">
      <c r="A182" s="61" t="n"/>
      <c r="B182" s="60" t="n"/>
      <c r="C182" s="61" t="n"/>
      <c r="D182" s="60" t="n"/>
      <c r="E182" s="60" t="n"/>
      <c r="F182" s="62" t="n"/>
      <c r="G182" s="62" t="n"/>
      <c r="H182" s="60" t="n"/>
      <c r="I182" s="60" t="n"/>
      <c r="J182" s="61" t="n"/>
      <c r="K182" s="61" t="n"/>
      <c r="L182" s="61" t="n"/>
      <c r="M182" s="60" t="n"/>
      <c r="N182" s="60" t="n"/>
      <c r="O182" s="60" t="n"/>
      <c r="P182" s="61" t="n"/>
      <c r="Q182" s="60" t="n"/>
      <c r="R182" s="60" t="n"/>
      <c r="S182" s="60" t="n"/>
      <c r="T182" s="61" t="n"/>
      <c r="U182" s="61" t="n"/>
      <c r="V182" s="60" t="n"/>
      <c r="W182" s="60" t="n"/>
      <c r="X182" s="60" t="n"/>
      <c r="Y182" s="60" t="n"/>
      <c r="Z182" s="61" t="n"/>
      <c r="AA182" s="60" t="n"/>
      <c r="AB182" s="60" t="n"/>
      <c r="AC182" s="60" t="n"/>
      <c r="AD182" s="60" t="n"/>
      <c r="AE182" s="63">
        <f>IF($G182="","",TODAY()-$G182)</f>
        <v/>
      </c>
      <c r="AF182" s="63">
        <f>IF($A182="","",IF($M182&gt;0,"Yes","No"))</f>
        <v/>
      </c>
      <c r="AG182" s="63">
        <f>IF($A182="","",IF(AND($E182="Yes",OR($AA182="No",$AA182="NOT FOUND")),"YES",""))</f>
        <v/>
      </c>
      <c r="AH182" s="66">
        <f>IF($A182="","",TRIM(IF(AND($Y182=0,$I182&lt;&gt;"Yes"),"T0-NoPhishResistant ","")&amp;IF($H182="No","NoMFA ","")&amp;IF(AND($Y182=0,$M182&gt;0),"T0-Standing ","")&amp;IF(AND($Y182=0,$S182="Group only"),"T0-ViaGroupOnly ","")&amp;IF($R182="Yes","BroadAzureScope ","")&amp;IF(AND($E182="Yes",$G182=""),"NeverSignedIn ","")))</f>
        <v/>
      </c>
      <c r="AI182" s="60" t="n"/>
      <c r="AJ182" s="61" t="n"/>
      <c r="AK182" s="60" t="n"/>
      <c r="AL182" s="62" t="n"/>
      <c r="AM182" s="62" t="n"/>
      <c r="AN182" s="62" t="n"/>
      <c r="AO182" s="60" t="n"/>
      <c r="AP182" s="61" t="n"/>
      <c r="AQ182" s="63">
        <f>IF($A182="","",IF(AM182="","Not Enrolled",IF(TODAY()&gt;AM182,"Review Overdue",IF(AM182-TODAY()&lt;=30,"Review Due Soon","Active"))))</f>
        <v/>
      </c>
      <c r="AR182" s="63">
        <f>IF($A182="","",IF(AN182="","NOT REVIEWED",IF(TODAY()-AN182&gt;90,"OVERDUE",IF(TODAY()-AN182&gt;76,"Due Soon","Current"))))</f>
        <v/>
      </c>
    </row>
    <row r="183" ht="15" customHeight="1" s="39">
      <c r="A183" s="61" t="n"/>
      <c r="B183" s="60" t="n"/>
      <c r="C183" s="61" t="n"/>
      <c r="D183" s="60" t="n"/>
      <c r="E183" s="60" t="n"/>
      <c r="F183" s="62" t="n"/>
      <c r="G183" s="62" t="n"/>
      <c r="H183" s="60" t="n"/>
      <c r="I183" s="60" t="n"/>
      <c r="J183" s="61" t="n"/>
      <c r="K183" s="61" t="n"/>
      <c r="L183" s="61" t="n"/>
      <c r="M183" s="60" t="n"/>
      <c r="N183" s="60" t="n"/>
      <c r="O183" s="60" t="n"/>
      <c r="P183" s="61" t="n"/>
      <c r="Q183" s="60" t="n"/>
      <c r="R183" s="60" t="n"/>
      <c r="S183" s="60" t="n"/>
      <c r="T183" s="61" t="n"/>
      <c r="U183" s="61" t="n"/>
      <c r="V183" s="60" t="n"/>
      <c r="W183" s="60" t="n"/>
      <c r="X183" s="60" t="n"/>
      <c r="Y183" s="60" t="n"/>
      <c r="Z183" s="61" t="n"/>
      <c r="AA183" s="60" t="n"/>
      <c r="AB183" s="60" t="n"/>
      <c r="AC183" s="60" t="n"/>
      <c r="AD183" s="60" t="n"/>
      <c r="AE183" s="63">
        <f>IF($G183="","",TODAY()-$G183)</f>
        <v/>
      </c>
      <c r="AF183" s="63">
        <f>IF($A183="","",IF($M183&gt;0,"Yes","No"))</f>
        <v/>
      </c>
      <c r="AG183" s="63">
        <f>IF($A183="","",IF(AND($E183="Yes",OR($AA183="No",$AA183="NOT FOUND")),"YES",""))</f>
        <v/>
      </c>
      <c r="AH183" s="66">
        <f>IF($A183="","",TRIM(IF(AND($Y183=0,$I183&lt;&gt;"Yes"),"T0-NoPhishResistant ","")&amp;IF($H183="No","NoMFA ","")&amp;IF(AND($Y183=0,$M183&gt;0),"T0-Standing ","")&amp;IF(AND($Y183=0,$S183="Group only"),"T0-ViaGroupOnly ","")&amp;IF($R183="Yes","BroadAzureScope ","")&amp;IF(AND($E183="Yes",$G183=""),"NeverSignedIn ","")))</f>
        <v/>
      </c>
      <c r="AI183" s="60" t="n"/>
      <c r="AJ183" s="61" t="n"/>
      <c r="AK183" s="60" t="n"/>
      <c r="AL183" s="62" t="n"/>
      <c r="AM183" s="62" t="n"/>
      <c r="AN183" s="62" t="n"/>
      <c r="AO183" s="60" t="n"/>
      <c r="AP183" s="61" t="n"/>
      <c r="AQ183" s="63">
        <f>IF($A183="","",IF(AM183="","Not Enrolled",IF(TODAY()&gt;AM183,"Review Overdue",IF(AM183-TODAY()&lt;=30,"Review Due Soon","Active"))))</f>
        <v/>
      </c>
      <c r="AR183" s="63">
        <f>IF($A183="","",IF(AN183="","NOT REVIEWED",IF(TODAY()-AN183&gt;90,"OVERDUE",IF(TODAY()-AN183&gt;76,"Due Soon","Current"))))</f>
        <v/>
      </c>
    </row>
    <row r="184" ht="15" customHeight="1" s="39">
      <c r="A184" s="61" t="n"/>
      <c r="B184" s="60" t="n"/>
      <c r="C184" s="61" t="n"/>
      <c r="D184" s="60" t="n"/>
      <c r="E184" s="60" t="n"/>
      <c r="F184" s="62" t="n"/>
      <c r="G184" s="62" t="n"/>
      <c r="H184" s="60" t="n"/>
      <c r="I184" s="60" t="n"/>
      <c r="J184" s="61" t="n"/>
      <c r="K184" s="61" t="n"/>
      <c r="L184" s="61" t="n"/>
      <c r="M184" s="60" t="n"/>
      <c r="N184" s="60" t="n"/>
      <c r="O184" s="60" t="n"/>
      <c r="P184" s="61" t="n"/>
      <c r="Q184" s="60" t="n"/>
      <c r="R184" s="60" t="n"/>
      <c r="S184" s="60" t="n"/>
      <c r="T184" s="61" t="n"/>
      <c r="U184" s="61" t="n"/>
      <c r="V184" s="60" t="n"/>
      <c r="W184" s="60" t="n"/>
      <c r="X184" s="60" t="n"/>
      <c r="Y184" s="60" t="n"/>
      <c r="Z184" s="61" t="n"/>
      <c r="AA184" s="60" t="n"/>
      <c r="AB184" s="60" t="n"/>
      <c r="AC184" s="60" t="n"/>
      <c r="AD184" s="60" t="n"/>
      <c r="AE184" s="63">
        <f>IF($G184="","",TODAY()-$G184)</f>
        <v/>
      </c>
      <c r="AF184" s="63">
        <f>IF($A184="","",IF($M184&gt;0,"Yes","No"))</f>
        <v/>
      </c>
      <c r="AG184" s="63">
        <f>IF($A184="","",IF(AND($E184="Yes",OR($AA184="No",$AA184="NOT FOUND")),"YES",""))</f>
        <v/>
      </c>
      <c r="AH184" s="66">
        <f>IF($A184="","",TRIM(IF(AND($Y184=0,$I184&lt;&gt;"Yes"),"T0-NoPhishResistant ","")&amp;IF($H184="No","NoMFA ","")&amp;IF(AND($Y184=0,$M184&gt;0),"T0-Standing ","")&amp;IF(AND($Y184=0,$S184="Group only"),"T0-ViaGroupOnly ","")&amp;IF($R184="Yes","BroadAzureScope ","")&amp;IF(AND($E184="Yes",$G184=""),"NeverSignedIn ","")))</f>
        <v/>
      </c>
      <c r="AI184" s="60" t="n"/>
      <c r="AJ184" s="61" t="n"/>
      <c r="AK184" s="60" t="n"/>
      <c r="AL184" s="62" t="n"/>
      <c r="AM184" s="62" t="n"/>
      <c r="AN184" s="62" t="n"/>
      <c r="AO184" s="60" t="n"/>
      <c r="AP184" s="61" t="n"/>
      <c r="AQ184" s="63">
        <f>IF($A184="","",IF(AM184="","Not Enrolled",IF(TODAY()&gt;AM184,"Review Overdue",IF(AM184-TODAY()&lt;=30,"Review Due Soon","Active"))))</f>
        <v/>
      </c>
      <c r="AR184" s="63">
        <f>IF($A184="","",IF(AN184="","NOT REVIEWED",IF(TODAY()-AN184&gt;90,"OVERDUE",IF(TODAY()-AN184&gt;76,"Due Soon","Current"))))</f>
        <v/>
      </c>
    </row>
    <row r="185" ht="15" customHeight="1" s="39">
      <c r="A185" s="61" t="n"/>
      <c r="B185" s="60" t="n"/>
      <c r="C185" s="61" t="n"/>
      <c r="D185" s="60" t="n"/>
      <c r="E185" s="60" t="n"/>
      <c r="F185" s="62" t="n"/>
      <c r="G185" s="62" t="n"/>
      <c r="H185" s="60" t="n"/>
      <c r="I185" s="60" t="n"/>
      <c r="J185" s="61" t="n"/>
      <c r="K185" s="61" t="n"/>
      <c r="L185" s="61" t="n"/>
      <c r="M185" s="60" t="n"/>
      <c r="N185" s="60" t="n"/>
      <c r="O185" s="60" t="n"/>
      <c r="P185" s="61" t="n"/>
      <c r="Q185" s="60" t="n"/>
      <c r="R185" s="60" t="n"/>
      <c r="S185" s="60" t="n"/>
      <c r="T185" s="61" t="n"/>
      <c r="U185" s="61" t="n"/>
      <c r="V185" s="60" t="n"/>
      <c r="W185" s="60" t="n"/>
      <c r="X185" s="60" t="n"/>
      <c r="Y185" s="60" t="n"/>
      <c r="Z185" s="61" t="n"/>
      <c r="AA185" s="60" t="n"/>
      <c r="AB185" s="60" t="n"/>
      <c r="AC185" s="60" t="n"/>
      <c r="AD185" s="60" t="n"/>
      <c r="AE185" s="63">
        <f>IF($G185="","",TODAY()-$G185)</f>
        <v/>
      </c>
      <c r="AF185" s="63">
        <f>IF($A185="","",IF($M185&gt;0,"Yes","No"))</f>
        <v/>
      </c>
      <c r="AG185" s="63">
        <f>IF($A185="","",IF(AND($E185="Yes",OR($AA185="No",$AA185="NOT FOUND")),"YES",""))</f>
        <v/>
      </c>
      <c r="AH185" s="66">
        <f>IF($A185="","",TRIM(IF(AND($Y185=0,$I185&lt;&gt;"Yes"),"T0-NoPhishResistant ","")&amp;IF($H185="No","NoMFA ","")&amp;IF(AND($Y185=0,$M185&gt;0),"T0-Standing ","")&amp;IF(AND($Y185=0,$S185="Group only"),"T0-ViaGroupOnly ","")&amp;IF($R185="Yes","BroadAzureScope ","")&amp;IF(AND($E185="Yes",$G185=""),"NeverSignedIn ","")))</f>
        <v/>
      </c>
      <c r="AI185" s="60" t="n"/>
      <c r="AJ185" s="61" t="n"/>
      <c r="AK185" s="60" t="n"/>
      <c r="AL185" s="62" t="n"/>
      <c r="AM185" s="62" t="n"/>
      <c r="AN185" s="62" t="n"/>
      <c r="AO185" s="60" t="n"/>
      <c r="AP185" s="61" t="n"/>
      <c r="AQ185" s="63">
        <f>IF($A185="","",IF(AM185="","Not Enrolled",IF(TODAY()&gt;AM185,"Review Overdue",IF(AM185-TODAY()&lt;=30,"Review Due Soon","Active"))))</f>
        <v/>
      </c>
      <c r="AR185" s="63">
        <f>IF($A185="","",IF(AN185="","NOT REVIEWED",IF(TODAY()-AN185&gt;90,"OVERDUE",IF(TODAY()-AN185&gt;76,"Due Soon","Current"))))</f>
        <v/>
      </c>
    </row>
    <row r="186" ht="15" customHeight="1" s="39">
      <c r="A186" s="61" t="n"/>
      <c r="B186" s="60" t="n"/>
      <c r="C186" s="61" t="n"/>
      <c r="D186" s="60" t="n"/>
      <c r="E186" s="60" t="n"/>
      <c r="F186" s="62" t="n"/>
      <c r="G186" s="62" t="n"/>
      <c r="H186" s="60" t="n"/>
      <c r="I186" s="60" t="n"/>
      <c r="J186" s="61" t="n"/>
      <c r="K186" s="61" t="n"/>
      <c r="L186" s="61" t="n"/>
      <c r="M186" s="60" t="n"/>
      <c r="N186" s="60" t="n"/>
      <c r="O186" s="60" t="n"/>
      <c r="P186" s="61" t="n"/>
      <c r="Q186" s="60" t="n"/>
      <c r="R186" s="60" t="n"/>
      <c r="S186" s="60" t="n"/>
      <c r="T186" s="61" t="n"/>
      <c r="U186" s="61" t="n"/>
      <c r="V186" s="60" t="n"/>
      <c r="W186" s="60" t="n"/>
      <c r="X186" s="60" t="n"/>
      <c r="Y186" s="60" t="n"/>
      <c r="Z186" s="61" t="n"/>
      <c r="AA186" s="60" t="n"/>
      <c r="AB186" s="60" t="n"/>
      <c r="AC186" s="60" t="n"/>
      <c r="AD186" s="60" t="n"/>
      <c r="AE186" s="63">
        <f>IF($G186="","",TODAY()-$G186)</f>
        <v/>
      </c>
      <c r="AF186" s="63">
        <f>IF($A186="","",IF($M186&gt;0,"Yes","No"))</f>
        <v/>
      </c>
      <c r="AG186" s="63">
        <f>IF($A186="","",IF(AND($E186="Yes",OR($AA186="No",$AA186="NOT FOUND")),"YES",""))</f>
        <v/>
      </c>
      <c r="AH186" s="66">
        <f>IF($A186="","",TRIM(IF(AND($Y186=0,$I186&lt;&gt;"Yes"),"T0-NoPhishResistant ","")&amp;IF($H186="No","NoMFA ","")&amp;IF(AND($Y186=0,$M186&gt;0),"T0-Standing ","")&amp;IF(AND($Y186=0,$S186="Group only"),"T0-ViaGroupOnly ","")&amp;IF($R186="Yes","BroadAzureScope ","")&amp;IF(AND($E186="Yes",$G186=""),"NeverSignedIn ","")))</f>
        <v/>
      </c>
      <c r="AI186" s="60" t="n"/>
      <c r="AJ186" s="61" t="n"/>
      <c r="AK186" s="60" t="n"/>
      <c r="AL186" s="62" t="n"/>
      <c r="AM186" s="62" t="n"/>
      <c r="AN186" s="62" t="n"/>
      <c r="AO186" s="60" t="n"/>
      <c r="AP186" s="61" t="n"/>
      <c r="AQ186" s="63">
        <f>IF($A186="","",IF(AM186="","Not Enrolled",IF(TODAY()&gt;AM186,"Review Overdue",IF(AM186-TODAY()&lt;=30,"Review Due Soon","Active"))))</f>
        <v/>
      </c>
      <c r="AR186" s="63">
        <f>IF($A186="","",IF(AN186="","NOT REVIEWED",IF(TODAY()-AN186&gt;90,"OVERDUE",IF(TODAY()-AN186&gt;76,"Due Soon","Current"))))</f>
        <v/>
      </c>
    </row>
    <row r="187" ht="15" customHeight="1" s="39">
      <c r="A187" s="61" t="n"/>
      <c r="B187" s="60" t="n"/>
      <c r="C187" s="61" t="n"/>
      <c r="D187" s="60" t="n"/>
      <c r="E187" s="60" t="n"/>
      <c r="F187" s="62" t="n"/>
      <c r="G187" s="62" t="n"/>
      <c r="H187" s="60" t="n"/>
      <c r="I187" s="60" t="n"/>
      <c r="J187" s="61" t="n"/>
      <c r="K187" s="61" t="n"/>
      <c r="L187" s="61" t="n"/>
      <c r="M187" s="60" t="n"/>
      <c r="N187" s="60" t="n"/>
      <c r="O187" s="60" t="n"/>
      <c r="P187" s="61" t="n"/>
      <c r="Q187" s="60" t="n"/>
      <c r="R187" s="60" t="n"/>
      <c r="S187" s="60" t="n"/>
      <c r="T187" s="61" t="n"/>
      <c r="U187" s="61" t="n"/>
      <c r="V187" s="60" t="n"/>
      <c r="W187" s="60" t="n"/>
      <c r="X187" s="60" t="n"/>
      <c r="Y187" s="60" t="n"/>
      <c r="Z187" s="61" t="n"/>
      <c r="AA187" s="60" t="n"/>
      <c r="AB187" s="60" t="n"/>
      <c r="AC187" s="60" t="n"/>
      <c r="AD187" s="60" t="n"/>
      <c r="AE187" s="63">
        <f>IF($G187="","",TODAY()-$G187)</f>
        <v/>
      </c>
      <c r="AF187" s="63">
        <f>IF($A187="","",IF($M187&gt;0,"Yes","No"))</f>
        <v/>
      </c>
      <c r="AG187" s="63">
        <f>IF($A187="","",IF(AND($E187="Yes",OR($AA187="No",$AA187="NOT FOUND")),"YES",""))</f>
        <v/>
      </c>
      <c r="AH187" s="66">
        <f>IF($A187="","",TRIM(IF(AND($Y187=0,$I187&lt;&gt;"Yes"),"T0-NoPhishResistant ","")&amp;IF($H187="No","NoMFA ","")&amp;IF(AND($Y187=0,$M187&gt;0),"T0-Standing ","")&amp;IF(AND($Y187=0,$S187="Group only"),"T0-ViaGroupOnly ","")&amp;IF($R187="Yes","BroadAzureScope ","")&amp;IF(AND($E187="Yes",$G187=""),"NeverSignedIn ","")))</f>
        <v/>
      </c>
      <c r="AI187" s="60" t="n"/>
      <c r="AJ187" s="61" t="n"/>
      <c r="AK187" s="60" t="n"/>
      <c r="AL187" s="62" t="n"/>
      <c r="AM187" s="62" t="n"/>
      <c r="AN187" s="62" t="n"/>
      <c r="AO187" s="60" t="n"/>
      <c r="AP187" s="61" t="n"/>
      <c r="AQ187" s="63">
        <f>IF($A187="","",IF(AM187="","Not Enrolled",IF(TODAY()&gt;AM187,"Review Overdue",IF(AM187-TODAY()&lt;=30,"Review Due Soon","Active"))))</f>
        <v/>
      </c>
      <c r="AR187" s="63">
        <f>IF($A187="","",IF(AN187="","NOT REVIEWED",IF(TODAY()-AN187&gt;90,"OVERDUE",IF(TODAY()-AN187&gt;76,"Due Soon","Current"))))</f>
        <v/>
      </c>
    </row>
    <row r="188" ht="15" customHeight="1" s="39">
      <c r="A188" s="61" t="n"/>
      <c r="B188" s="60" t="n"/>
      <c r="C188" s="61" t="n"/>
      <c r="D188" s="60" t="n"/>
      <c r="E188" s="60" t="n"/>
      <c r="F188" s="62" t="n"/>
      <c r="G188" s="62" t="n"/>
      <c r="H188" s="60" t="n"/>
      <c r="I188" s="60" t="n"/>
      <c r="J188" s="61" t="n"/>
      <c r="K188" s="61" t="n"/>
      <c r="L188" s="61" t="n"/>
      <c r="M188" s="60" t="n"/>
      <c r="N188" s="60" t="n"/>
      <c r="O188" s="60" t="n"/>
      <c r="P188" s="61" t="n"/>
      <c r="Q188" s="60" t="n"/>
      <c r="R188" s="60" t="n"/>
      <c r="S188" s="60" t="n"/>
      <c r="T188" s="61" t="n"/>
      <c r="U188" s="61" t="n"/>
      <c r="V188" s="60" t="n"/>
      <c r="W188" s="60" t="n"/>
      <c r="X188" s="60" t="n"/>
      <c r="Y188" s="60" t="n"/>
      <c r="Z188" s="61" t="n"/>
      <c r="AA188" s="60" t="n"/>
      <c r="AB188" s="60" t="n"/>
      <c r="AC188" s="60" t="n"/>
      <c r="AD188" s="60" t="n"/>
      <c r="AE188" s="63">
        <f>IF($G188="","",TODAY()-$G188)</f>
        <v/>
      </c>
      <c r="AF188" s="63">
        <f>IF($A188="","",IF($M188&gt;0,"Yes","No"))</f>
        <v/>
      </c>
      <c r="AG188" s="63">
        <f>IF($A188="","",IF(AND($E188="Yes",OR($AA188="No",$AA188="NOT FOUND")),"YES",""))</f>
        <v/>
      </c>
      <c r="AH188" s="66">
        <f>IF($A188="","",TRIM(IF(AND($Y188=0,$I188&lt;&gt;"Yes"),"T0-NoPhishResistant ","")&amp;IF($H188="No","NoMFA ","")&amp;IF(AND($Y188=0,$M188&gt;0),"T0-Standing ","")&amp;IF(AND($Y188=0,$S188="Group only"),"T0-ViaGroupOnly ","")&amp;IF($R188="Yes","BroadAzureScope ","")&amp;IF(AND($E188="Yes",$G188=""),"NeverSignedIn ","")))</f>
        <v/>
      </c>
      <c r="AI188" s="60" t="n"/>
      <c r="AJ188" s="61" t="n"/>
      <c r="AK188" s="60" t="n"/>
      <c r="AL188" s="62" t="n"/>
      <c r="AM188" s="62" t="n"/>
      <c r="AN188" s="62" t="n"/>
      <c r="AO188" s="60" t="n"/>
      <c r="AP188" s="61" t="n"/>
      <c r="AQ188" s="63">
        <f>IF($A188="","",IF(AM188="","Not Enrolled",IF(TODAY()&gt;AM188,"Review Overdue",IF(AM188-TODAY()&lt;=30,"Review Due Soon","Active"))))</f>
        <v/>
      </c>
      <c r="AR188" s="63">
        <f>IF($A188="","",IF(AN188="","NOT REVIEWED",IF(TODAY()-AN188&gt;90,"OVERDUE",IF(TODAY()-AN188&gt;76,"Due Soon","Current"))))</f>
        <v/>
      </c>
    </row>
    <row r="189" ht="15" customHeight="1" s="39">
      <c r="A189" s="61" t="n"/>
      <c r="B189" s="60" t="n"/>
      <c r="C189" s="61" t="n"/>
      <c r="D189" s="60" t="n"/>
      <c r="E189" s="60" t="n"/>
      <c r="F189" s="62" t="n"/>
      <c r="G189" s="62" t="n"/>
      <c r="H189" s="60" t="n"/>
      <c r="I189" s="60" t="n"/>
      <c r="J189" s="61" t="n"/>
      <c r="K189" s="61" t="n"/>
      <c r="L189" s="61" t="n"/>
      <c r="M189" s="60" t="n"/>
      <c r="N189" s="60" t="n"/>
      <c r="O189" s="60" t="n"/>
      <c r="P189" s="61" t="n"/>
      <c r="Q189" s="60" t="n"/>
      <c r="R189" s="60" t="n"/>
      <c r="S189" s="60" t="n"/>
      <c r="T189" s="61" t="n"/>
      <c r="U189" s="61" t="n"/>
      <c r="V189" s="60" t="n"/>
      <c r="W189" s="60" t="n"/>
      <c r="X189" s="60" t="n"/>
      <c r="Y189" s="60" t="n"/>
      <c r="Z189" s="61" t="n"/>
      <c r="AA189" s="60" t="n"/>
      <c r="AB189" s="60" t="n"/>
      <c r="AC189" s="60" t="n"/>
      <c r="AD189" s="60" t="n"/>
      <c r="AE189" s="63">
        <f>IF($G189="","",TODAY()-$G189)</f>
        <v/>
      </c>
      <c r="AF189" s="63">
        <f>IF($A189="","",IF($M189&gt;0,"Yes","No"))</f>
        <v/>
      </c>
      <c r="AG189" s="63">
        <f>IF($A189="","",IF(AND($E189="Yes",OR($AA189="No",$AA189="NOT FOUND")),"YES",""))</f>
        <v/>
      </c>
      <c r="AH189" s="66">
        <f>IF($A189="","",TRIM(IF(AND($Y189=0,$I189&lt;&gt;"Yes"),"T0-NoPhishResistant ","")&amp;IF($H189="No","NoMFA ","")&amp;IF(AND($Y189=0,$M189&gt;0),"T0-Standing ","")&amp;IF(AND($Y189=0,$S189="Group only"),"T0-ViaGroupOnly ","")&amp;IF($R189="Yes","BroadAzureScope ","")&amp;IF(AND($E189="Yes",$G189=""),"NeverSignedIn ","")))</f>
        <v/>
      </c>
      <c r="AI189" s="60" t="n"/>
      <c r="AJ189" s="61" t="n"/>
      <c r="AK189" s="60" t="n"/>
      <c r="AL189" s="62" t="n"/>
      <c r="AM189" s="62" t="n"/>
      <c r="AN189" s="62" t="n"/>
      <c r="AO189" s="60" t="n"/>
      <c r="AP189" s="61" t="n"/>
      <c r="AQ189" s="63">
        <f>IF($A189="","",IF(AM189="","Not Enrolled",IF(TODAY()&gt;AM189,"Review Overdue",IF(AM189-TODAY()&lt;=30,"Review Due Soon","Active"))))</f>
        <v/>
      </c>
      <c r="AR189" s="63">
        <f>IF($A189="","",IF(AN189="","NOT REVIEWED",IF(TODAY()-AN189&gt;90,"OVERDUE",IF(TODAY()-AN189&gt;76,"Due Soon","Current"))))</f>
        <v/>
      </c>
    </row>
    <row r="190" ht="15" customHeight="1" s="39">
      <c r="A190" s="61" t="n"/>
      <c r="B190" s="60" t="n"/>
      <c r="C190" s="61" t="n"/>
      <c r="D190" s="60" t="n"/>
      <c r="E190" s="60" t="n"/>
      <c r="F190" s="62" t="n"/>
      <c r="G190" s="62" t="n"/>
      <c r="H190" s="60" t="n"/>
      <c r="I190" s="60" t="n"/>
      <c r="J190" s="61" t="n"/>
      <c r="K190" s="61" t="n"/>
      <c r="L190" s="61" t="n"/>
      <c r="M190" s="60" t="n"/>
      <c r="N190" s="60" t="n"/>
      <c r="O190" s="60" t="n"/>
      <c r="P190" s="61" t="n"/>
      <c r="Q190" s="60" t="n"/>
      <c r="R190" s="60" t="n"/>
      <c r="S190" s="60" t="n"/>
      <c r="T190" s="61" t="n"/>
      <c r="U190" s="61" t="n"/>
      <c r="V190" s="60" t="n"/>
      <c r="W190" s="60" t="n"/>
      <c r="X190" s="60" t="n"/>
      <c r="Y190" s="60" t="n"/>
      <c r="Z190" s="61" t="n"/>
      <c r="AA190" s="60" t="n"/>
      <c r="AB190" s="60" t="n"/>
      <c r="AC190" s="60" t="n"/>
      <c r="AD190" s="60" t="n"/>
      <c r="AE190" s="63">
        <f>IF($G190="","",TODAY()-$G190)</f>
        <v/>
      </c>
      <c r="AF190" s="63">
        <f>IF($A190="","",IF($M190&gt;0,"Yes","No"))</f>
        <v/>
      </c>
      <c r="AG190" s="63">
        <f>IF($A190="","",IF(AND($E190="Yes",OR($AA190="No",$AA190="NOT FOUND")),"YES",""))</f>
        <v/>
      </c>
      <c r="AH190" s="66">
        <f>IF($A190="","",TRIM(IF(AND($Y190=0,$I190&lt;&gt;"Yes"),"T0-NoPhishResistant ","")&amp;IF($H190="No","NoMFA ","")&amp;IF(AND($Y190=0,$M190&gt;0),"T0-Standing ","")&amp;IF(AND($Y190=0,$S190="Group only"),"T0-ViaGroupOnly ","")&amp;IF($R190="Yes","BroadAzureScope ","")&amp;IF(AND($E190="Yes",$G190=""),"NeverSignedIn ","")))</f>
        <v/>
      </c>
      <c r="AI190" s="60" t="n"/>
      <c r="AJ190" s="61" t="n"/>
      <c r="AK190" s="60" t="n"/>
      <c r="AL190" s="62" t="n"/>
      <c r="AM190" s="62" t="n"/>
      <c r="AN190" s="62" t="n"/>
      <c r="AO190" s="60" t="n"/>
      <c r="AP190" s="61" t="n"/>
      <c r="AQ190" s="63">
        <f>IF($A190="","",IF(AM190="","Not Enrolled",IF(TODAY()&gt;AM190,"Review Overdue",IF(AM190-TODAY()&lt;=30,"Review Due Soon","Active"))))</f>
        <v/>
      </c>
      <c r="AR190" s="63">
        <f>IF($A190="","",IF(AN190="","NOT REVIEWED",IF(TODAY()-AN190&gt;90,"OVERDUE",IF(TODAY()-AN190&gt;76,"Due Soon","Current"))))</f>
        <v/>
      </c>
    </row>
    <row r="191" ht="15" customHeight="1" s="39">
      <c r="A191" s="61" t="n"/>
      <c r="B191" s="60" t="n"/>
      <c r="C191" s="61" t="n"/>
      <c r="D191" s="60" t="n"/>
      <c r="E191" s="60" t="n"/>
      <c r="F191" s="62" t="n"/>
      <c r="G191" s="62" t="n"/>
      <c r="H191" s="60" t="n"/>
      <c r="I191" s="60" t="n"/>
      <c r="J191" s="61" t="n"/>
      <c r="K191" s="61" t="n"/>
      <c r="L191" s="61" t="n"/>
      <c r="M191" s="60" t="n"/>
      <c r="N191" s="60" t="n"/>
      <c r="O191" s="60" t="n"/>
      <c r="P191" s="61" t="n"/>
      <c r="Q191" s="60" t="n"/>
      <c r="R191" s="60" t="n"/>
      <c r="S191" s="60" t="n"/>
      <c r="T191" s="61" t="n"/>
      <c r="U191" s="61" t="n"/>
      <c r="V191" s="60" t="n"/>
      <c r="W191" s="60" t="n"/>
      <c r="X191" s="60" t="n"/>
      <c r="Y191" s="60" t="n"/>
      <c r="Z191" s="61" t="n"/>
      <c r="AA191" s="60" t="n"/>
      <c r="AB191" s="60" t="n"/>
      <c r="AC191" s="60" t="n"/>
      <c r="AD191" s="60" t="n"/>
      <c r="AE191" s="63">
        <f>IF($G191="","",TODAY()-$G191)</f>
        <v/>
      </c>
      <c r="AF191" s="63">
        <f>IF($A191="","",IF($M191&gt;0,"Yes","No"))</f>
        <v/>
      </c>
      <c r="AG191" s="63">
        <f>IF($A191="","",IF(AND($E191="Yes",OR($AA191="No",$AA191="NOT FOUND")),"YES",""))</f>
        <v/>
      </c>
      <c r="AH191" s="66">
        <f>IF($A191="","",TRIM(IF(AND($Y191=0,$I191&lt;&gt;"Yes"),"T0-NoPhishResistant ","")&amp;IF($H191="No","NoMFA ","")&amp;IF(AND($Y191=0,$M191&gt;0),"T0-Standing ","")&amp;IF(AND($Y191=0,$S191="Group only"),"T0-ViaGroupOnly ","")&amp;IF($R191="Yes","BroadAzureScope ","")&amp;IF(AND($E191="Yes",$G191=""),"NeverSignedIn ","")))</f>
        <v/>
      </c>
      <c r="AI191" s="60" t="n"/>
      <c r="AJ191" s="61" t="n"/>
      <c r="AK191" s="60" t="n"/>
      <c r="AL191" s="62" t="n"/>
      <c r="AM191" s="62" t="n"/>
      <c r="AN191" s="62" t="n"/>
      <c r="AO191" s="60" t="n"/>
      <c r="AP191" s="61" t="n"/>
      <c r="AQ191" s="63">
        <f>IF($A191="","",IF(AM191="","Not Enrolled",IF(TODAY()&gt;AM191,"Review Overdue",IF(AM191-TODAY()&lt;=30,"Review Due Soon","Active"))))</f>
        <v/>
      </c>
      <c r="AR191" s="63">
        <f>IF($A191="","",IF(AN191="","NOT REVIEWED",IF(TODAY()-AN191&gt;90,"OVERDUE",IF(TODAY()-AN191&gt;76,"Due Soon","Current"))))</f>
        <v/>
      </c>
    </row>
    <row r="192" ht="15" customHeight="1" s="39">
      <c r="A192" s="61" t="n"/>
      <c r="B192" s="60" t="n"/>
      <c r="C192" s="61" t="n"/>
      <c r="D192" s="60" t="n"/>
      <c r="E192" s="60" t="n"/>
      <c r="F192" s="62" t="n"/>
      <c r="G192" s="62" t="n"/>
      <c r="H192" s="60" t="n"/>
      <c r="I192" s="60" t="n"/>
      <c r="J192" s="61" t="n"/>
      <c r="K192" s="61" t="n"/>
      <c r="L192" s="61" t="n"/>
      <c r="M192" s="60" t="n"/>
      <c r="N192" s="60" t="n"/>
      <c r="O192" s="60" t="n"/>
      <c r="P192" s="61" t="n"/>
      <c r="Q192" s="60" t="n"/>
      <c r="R192" s="60" t="n"/>
      <c r="S192" s="60" t="n"/>
      <c r="T192" s="61" t="n"/>
      <c r="U192" s="61" t="n"/>
      <c r="V192" s="60" t="n"/>
      <c r="W192" s="60" t="n"/>
      <c r="X192" s="60" t="n"/>
      <c r="Y192" s="60" t="n"/>
      <c r="Z192" s="61" t="n"/>
      <c r="AA192" s="60" t="n"/>
      <c r="AB192" s="60" t="n"/>
      <c r="AC192" s="60" t="n"/>
      <c r="AD192" s="60" t="n"/>
      <c r="AE192" s="63">
        <f>IF($G192="","",TODAY()-$G192)</f>
        <v/>
      </c>
      <c r="AF192" s="63">
        <f>IF($A192="","",IF($M192&gt;0,"Yes","No"))</f>
        <v/>
      </c>
      <c r="AG192" s="63">
        <f>IF($A192="","",IF(AND($E192="Yes",OR($AA192="No",$AA192="NOT FOUND")),"YES",""))</f>
        <v/>
      </c>
      <c r="AH192" s="66">
        <f>IF($A192="","",TRIM(IF(AND($Y192=0,$I192&lt;&gt;"Yes"),"T0-NoPhishResistant ","")&amp;IF($H192="No","NoMFA ","")&amp;IF(AND($Y192=0,$M192&gt;0),"T0-Standing ","")&amp;IF(AND($Y192=0,$S192="Group only"),"T0-ViaGroupOnly ","")&amp;IF($R192="Yes","BroadAzureScope ","")&amp;IF(AND($E192="Yes",$G192=""),"NeverSignedIn ","")))</f>
        <v/>
      </c>
      <c r="AI192" s="60" t="n"/>
      <c r="AJ192" s="61" t="n"/>
      <c r="AK192" s="60" t="n"/>
      <c r="AL192" s="62" t="n"/>
      <c r="AM192" s="62" t="n"/>
      <c r="AN192" s="62" t="n"/>
      <c r="AO192" s="60" t="n"/>
      <c r="AP192" s="61" t="n"/>
      <c r="AQ192" s="63">
        <f>IF($A192="","",IF(AM192="","Not Enrolled",IF(TODAY()&gt;AM192,"Review Overdue",IF(AM192-TODAY()&lt;=30,"Review Due Soon","Active"))))</f>
        <v/>
      </c>
      <c r="AR192" s="63">
        <f>IF($A192="","",IF(AN192="","NOT REVIEWED",IF(TODAY()-AN192&gt;90,"OVERDUE",IF(TODAY()-AN192&gt;76,"Due Soon","Current"))))</f>
        <v/>
      </c>
    </row>
    <row r="193" ht="15" customHeight="1" s="39">
      <c r="A193" s="61" t="n"/>
      <c r="B193" s="60" t="n"/>
      <c r="C193" s="61" t="n"/>
      <c r="D193" s="60" t="n"/>
      <c r="E193" s="60" t="n"/>
      <c r="F193" s="62" t="n"/>
      <c r="G193" s="62" t="n"/>
      <c r="H193" s="60" t="n"/>
      <c r="I193" s="60" t="n"/>
      <c r="J193" s="61" t="n"/>
      <c r="K193" s="61" t="n"/>
      <c r="L193" s="61" t="n"/>
      <c r="M193" s="60" t="n"/>
      <c r="N193" s="60" t="n"/>
      <c r="O193" s="60" t="n"/>
      <c r="P193" s="61" t="n"/>
      <c r="Q193" s="60" t="n"/>
      <c r="R193" s="60" t="n"/>
      <c r="S193" s="60" t="n"/>
      <c r="T193" s="61" t="n"/>
      <c r="U193" s="61" t="n"/>
      <c r="V193" s="60" t="n"/>
      <c r="W193" s="60" t="n"/>
      <c r="X193" s="60" t="n"/>
      <c r="Y193" s="60" t="n"/>
      <c r="Z193" s="61" t="n"/>
      <c r="AA193" s="60" t="n"/>
      <c r="AB193" s="60" t="n"/>
      <c r="AC193" s="60" t="n"/>
      <c r="AD193" s="60" t="n"/>
      <c r="AE193" s="63">
        <f>IF($G193="","",TODAY()-$G193)</f>
        <v/>
      </c>
      <c r="AF193" s="63">
        <f>IF($A193="","",IF($M193&gt;0,"Yes","No"))</f>
        <v/>
      </c>
      <c r="AG193" s="63">
        <f>IF($A193="","",IF(AND($E193="Yes",OR($AA193="No",$AA193="NOT FOUND")),"YES",""))</f>
        <v/>
      </c>
      <c r="AH193" s="66">
        <f>IF($A193="","",TRIM(IF(AND($Y193=0,$I193&lt;&gt;"Yes"),"T0-NoPhishResistant ","")&amp;IF($H193="No","NoMFA ","")&amp;IF(AND($Y193=0,$M193&gt;0),"T0-Standing ","")&amp;IF(AND($Y193=0,$S193="Group only"),"T0-ViaGroupOnly ","")&amp;IF($R193="Yes","BroadAzureScope ","")&amp;IF(AND($E193="Yes",$G193=""),"NeverSignedIn ","")))</f>
        <v/>
      </c>
      <c r="AI193" s="60" t="n"/>
      <c r="AJ193" s="61" t="n"/>
      <c r="AK193" s="60" t="n"/>
      <c r="AL193" s="62" t="n"/>
      <c r="AM193" s="62" t="n"/>
      <c r="AN193" s="62" t="n"/>
      <c r="AO193" s="60" t="n"/>
      <c r="AP193" s="61" t="n"/>
      <c r="AQ193" s="63">
        <f>IF($A193="","",IF(AM193="","Not Enrolled",IF(TODAY()&gt;AM193,"Review Overdue",IF(AM193-TODAY()&lt;=30,"Review Due Soon","Active"))))</f>
        <v/>
      </c>
      <c r="AR193" s="63">
        <f>IF($A193="","",IF(AN193="","NOT REVIEWED",IF(TODAY()-AN193&gt;90,"OVERDUE",IF(TODAY()-AN193&gt;76,"Due Soon","Current"))))</f>
        <v/>
      </c>
    </row>
    <row r="194" ht="15" customHeight="1" s="39">
      <c r="A194" s="61" t="n"/>
      <c r="B194" s="60" t="n"/>
      <c r="C194" s="61" t="n"/>
      <c r="D194" s="60" t="n"/>
      <c r="E194" s="60" t="n"/>
      <c r="F194" s="62" t="n"/>
      <c r="G194" s="62" t="n"/>
      <c r="H194" s="60" t="n"/>
      <c r="I194" s="60" t="n"/>
      <c r="J194" s="61" t="n"/>
      <c r="K194" s="61" t="n"/>
      <c r="L194" s="61" t="n"/>
      <c r="M194" s="60" t="n"/>
      <c r="N194" s="60" t="n"/>
      <c r="O194" s="60" t="n"/>
      <c r="P194" s="61" t="n"/>
      <c r="Q194" s="60" t="n"/>
      <c r="R194" s="60" t="n"/>
      <c r="S194" s="60" t="n"/>
      <c r="T194" s="61" t="n"/>
      <c r="U194" s="61" t="n"/>
      <c r="V194" s="60" t="n"/>
      <c r="W194" s="60" t="n"/>
      <c r="X194" s="60" t="n"/>
      <c r="Y194" s="60" t="n"/>
      <c r="Z194" s="61" t="n"/>
      <c r="AA194" s="60" t="n"/>
      <c r="AB194" s="60" t="n"/>
      <c r="AC194" s="60" t="n"/>
      <c r="AD194" s="60" t="n"/>
      <c r="AE194" s="63">
        <f>IF($G194="","",TODAY()-$G194)</f>
        <v/>
      </c>
      <c r="AF194" s="63">
        <f>IF($A194="","",IF($M194&gt;0,"Yes","No"))</f>
        <v/>
      </c>
      <c r="AG194" s="63">
        <f>IF($A194="","",IF(AND($E194="Yes",OR($AA194="No",$AA194="NOT FOUND")),"YES",""))</f>
        <v/>
      </c>
      <c r="AH194" s="66">
        <f>IF($A194="","",TRIM(IF(AND($Y194=0,$I194&lt;&gt;"Yes"),"T0-NoPhishResistant ","")&amp;IF($H194="No","NoMFA ","")&amp;IF(AND($Y194=0,$M194&gt;0),"T0-Standing ","")&amp;IF(AND($Y194=0,$S194="Group only"),"T0-ViaGroupOnly ","")&amp;IF($R194="Yes","BroadAzureScope ","")&amp;IF(AND($E194="Yes",$G194=""),"NeverSignedIn ","")))</f>
        <v/>
      </c>
      <c r="AI194" s="60" t="n"/>
      <c r="AJ194" s="61" t="n"/>
      <c r="AK194" s="60" t="n"/>
      <c r="AL194" s="62" t="n"/>
      <c r="AM194" s="62" t="n"/>
      <c r="AN194" s="62" t="n"/>
      <c r="AO194" s="60" t="n"/>
      <c r="AP194" s="61" t="n"/>
      <c r="AQ194" s="63">
        <f>IF($A194="","",IF(AM194="","Not Enrolled",IF(TODAY()&gt;AM194,"Review Overdue",IF(AM194-TODAY()&lt;=30,"Review Due Soon","Active"))))</f>
        <v/>
      </c>
      <c r="AR194" s="63">
        <f>IF($A194="","",IF(AN194="","NOT REVIEWED",IF(TODAY()-AN194&gt;90,"OVERDUE",IF(TODAY()-AN194&gt;76,"Due Soon","Current"))))</f>
        <v/>
      </c>
    </row>
    <row r="195" ht="15" customHeight="1" s="39">
      <c r="A195" s="61" t="n"/>
      <c r="B195" s="60" t="n"/>
      <c r="C195" s="61" t="n"/>
      <c r="D195" s="60" t="n"/>
      <c r="E195" s="60" t="n"/>
      <c r="F195" s="62" t="n"/>
      <c r="G195" s="62" t="n"/>
      <c r="H195" s="60" t="n"/>
      <c r="I195" s="60" t="n"/>
      <c r="J195" s="61" t="n"/>
      <c r="K195" s="61" t="n"/>
      <c r="L195" s="61" t="n"/>
      <c r="M195" s="60" t="n"/>
      <c r="N195" s="60" t="n"/>
      <c r="O195" s="60" t="n"/>
      <c r="P195" s="61" t="n"/>
      <c r="Q195" s="60" t="n"/>
      <c r="R195" s="60" t="n"/>
      <c r="S195" s="60" t="n"/>
      <c r="T195" s="61" t="n"/>
      <c r="U195" s="61" t="n"/>
      <c r="V195" s="60" t="n"/>
      <c r="W195" s="60" t="n"/>
      <c r="X195" s="60" t="n"/>
      <c r="Y195" s="60" t="n"/>
      <c r="Z195" s="61" t="n"/>
      <c r="AA195" s="60" t="n"/>
      <c r="AB195" s="60" t="n"/>
      <c r="AC195" s="60" t="n"/>
      <c r="AD195" s="60" t="n"/>
      <c r="AE195" s="63">
        <f>IF($G195="","",TODAY()-$G195)</f>
        <v/>
      </c>
      <c r="AF195" s="63">
        <f>IF($A195="","",IF($M195&gt;0,"Yes","No"))</f>
        <v/>
      </c>
      <c r="AG195" s="63">
        <f>IF($A195="","",IF(AND($E195="Yes",OR($AA195="No",$AA195="NOT FOUND")),"YES",""))</f>
        <v/>
      </c>
      <c r="AH195" s="66">
        <f>IF($A195="","",TRIM(IF(AND($Y195=0,$I195&lt;&gt;"Yes"),"T0-NoPhishResistant ","")&amp;IF($H195="No","NoMFA ","")&amp;IF(AND($Y195=0,$M195&gt;0),"T0-Standing ","")&amp;IF(AND($Y195=0,$S195="Group only"),"T0-ViaGroupOnly ","")&amp;IF($R195="Yes","BroadAzureScope ","")&amp;IF(AND($E195="Yes",$G195=""),"NeverSignedIn ","")))</f>
        <v/>
      </c>
      <c r="AI195" s="60" t="n"/>
      <c r="AJ195" s="61" t="n"/>
      <c r="AK195" s="60" t="n"/>
      <c r="AL195" s="62" t="n"/>
      <c r="AM195" s="62" t="n"/>
      <c r="AN195" s="62" t="n"/>
      <c r="AO195" s="60" t="n"/>
      <c r="AP195" s="61" t="n"/>
      <c r="AQ195" s="63">
        <f>IF($A195="","",IF(AM195="","Not Enrolled",IF(TODAY()&gt;AM195,"Review Overdue",IF(AM195-TODAY()&lt;=30,"Review Due Soon","Active"))))</f>
        <v/>
      </c>
      <c r="AR195" s="63">
        <f>IF($A195="","",IF(AN195="","NOT REVIEWED",IF(TODAY()-AN195&gt;90,"OVERDUE",IF(TODAY()-AN195&gt;76,"Due Soon","Current"))))</f>
        <v/>
      </c>
    </row>
    <row r="196" ht="15" customHeight="1" s="39">
      <c r="A196" s="61" t="n"/>
      <c r="B196" s="60" t="n"/>
      <c r="C196" s="61" t="n"/>
      <c r="D196" s="60" t="n"/>
      <c r="E196" s="60" t="n"/>
      <c r="F196" s="62" t="n"/>
      <c r="G196" s="62" t="n"/>
      <c r="H196" s="60" t="n"/>
      <c r="I196" s="60" t="n"/>
      <c r="J196" s="61" t="n"/>
      <c r="K196" s="61" t="n"/>
      <c r="L196" s="61" t="n"/>
      <c r="M196" s="60" t="n"/>
      <c r="N196" s="60" t="n"/>
      <c r="O196" s="60" t="n"/>
      <c r="P196" s="61" t="n"/>
      <c r="Q196" s="60" t="n"/>
      <c r="R196" s="60" t="n"/>
      <c r="S196" s="60" t="n"/>
      <c r="T196" s="61" t="n"/>
      <c r="U196" s="61" t="n"/>
      <c r="V196" s="60" t="n"/>
      <c r="W196" s="60" t="n"/>
      <c r="X196" s="60" t="n"/>
      <c r="Y196" s="60" t="n"/>
      <c r="Z196" s="61" t="n"/>
      <c r="AA196" s="60" t="n"/>
      <c r="AB196" s="60" t="n"/>
      <c r="AC196" s="60" t="n"/>
      <c r="AD196" s="60" t="n"/>
      <c r="AE196" s="63">
        <f>IF($G196="","",TODAY()-$G196)</f>
        <v/>
      </c>
      <c r="AF196" s="63">
        <f>IF($A196="","",IF($M196&gt;0,"Yes","No"))</f>
        <v/>
      </c>
      <c r="AG196" s="63">
        <f>IF($A196="","",IF(AND($E196="Yes",OR($AA196="No",$AA196="NOT FOUND")),"YES",""))</f>
        <v/>
      </c>
      <c r="AH196" s="66">
        <f>IF($A196="","",TRIM(IF(AND($Y196=0,$I196&lt;&gt;"Yes"),"T0-NoPhishResistant ","")&amp;IF($H196="No","NoMFA ","")&amp;IF(AND($Y196=0,$M196&gt;0),"T0-Standing ","")&amp;IF(AND($Y196=0,$S196="Group only"),"T0-ViaGroupOnly ","")&amp;IF($R196="Yes","BroadAzureScope ","")&amp;IF(AND($E196="Yes",$G196=""),"NeverSignedIn ","")))</f>
        <v/>
      </c>
      <c r="AI196" s="60" t="n"/>
      <c r="AJ196" s="61" t="n"/>
      <c r="AK196" s="60" t="n"/>
      <c r="AL196" s="62" t="n"/>
      <c r="AM196" s="62" t="n"/>
      <c r="AN196" s="62" t="n"/>
      <c r="AO196" s="60" t="n"/>
      <c r="AP196" s="61" t="n"/>
      <c r="AQ196" s="63">
        <f>IF($A196="","",IF(AM196="","Not Enrolled",IF(TODAY()&gt;AM196,"Review Overdue",IF(AM196-TODAY()&lt;=30,"Review Due Soon","Active"))))</f>
        <v/>
      </c>
      <c r="AR196" s="63">
        <f>IF($A196="","",IF(AN196="","NOT REVIEWED",IF(TODAY()-AN196&gt;90,"OVERDUE",IF(TODAY()-AN196&gt;76,"Due Soon","Current"))))</f>
        <v/>
      </c>
    </row>
    <row r="197" ht="15" customHeight="1" s="39">
      <c r="A197" s="61" t="n"/>
      <c r="B197" s="60" t="n"/>
      <c r="C197" s="61" t="n"/>
      <c r="D197" s="60" t="n"/>
      <c r="E197" s="60" t="n"/>
      <c r="F197" s="62" t="n"/>
      <c r="G197" s="62" t="n"/>
      <c r="H197" s="60" t="n"/>
      <c r="I197" s="60" t="n"/>
      <c r="J197" s="61" t="n"/>
      <c r="K197" s="61" t="n"/>
      <c r="L197" s="61" t="n"/>
      <c r="M197" s="60" t="n"/>
      <c r="N197" s="60" t="n"/>
      <c r="O197" s="60" t="n"/>
      <c r="P197" s="61" t="n"/>
      <c r="Q197" s="60" t="n"/>
      <c r="R197" s="60" t="n"/>
      <c r="S197" s="60" t="n"/>
      <c r="T197" s="61" t="n"/>
      <c r="U197" s="61" t="n"/>
      <c r="V197" s="60" t="n"/>
      <c r="W197" s="60" t="n"/>
      <c r="X197" s="60" t="n"/>
      <c r="Y197" s="60" t="n"/>
      <c r="Z197" s="61" t="n"/>
      <c r="AA197" s="60" t="n"/>
      <c r="AB197" s="60" t="n"/>
      <c r="AC197" s="60" t="n"/>
      <c r="AD197" s="60" t="n"/>
      <c r="AE197" s="63">
        <f>IF($G197="","",TODAY()-$G197)</f>
        <v/>
      </c>
      <c r="AF197" s="63">
        <f>IF($A197="","",IF($M197&gt;0,"Yes","No"))</f>
        <v/>
      </c>
      <c r="AG197" s="63">
        <f>IF($A197="","",IF(AND($E197="Yes",OR($AA197="No",$AA197="NOT FOUND")),"YES",""))</f>
        <v/>
      </c>
      <c r="AH197" s="66">
        <f>IF($A197="","",TRIM(IF(AND($Y197=0,$I197&lt;&gt;"Yes"),"T0-NoPhishResistant ","")&amp;IF($H197="No","NoMFA ","")&amp;IF(AND($Y197=0,$M197&gt;0),"T0-Standing ","")&amp;IF(AND($Y197=0,$S197="Group only"),"T0-ViaGroupOnly ","")&amp;IF($R197="Yes","BroadAzureScope ","")&amp;IF(AND($E197="Yes",$G197=""),"NeverSignedIn ","")))</f>
        <v/>
      </c>
      <c r="AI197" s="60" t="n"/>
      <c r="AJ197" s="61" t="n"/>
      <c r="AK197" s="60" t="n"/>
      <c r="AL197" s="62" t="n"/>
      <c r="AM197" s="62" t="n"/>
      <c r="AN197" s="62" t="n"/>
      <c r="AO197" s="60" t="n"/>
      <c r="AP197" s="61" t="n"/>
      <c r="AQ197" s="63">
        <f>IF($A197="","",IF(AM197="","Not Enrolled",IF(TODAY()&gt;AM197,"Review Overdue",IF(AM197-TODAY()&lt;=30,"Review Due Soon","Active"))))</f>
        <v/>
      </c>
      <c r="AR197" s="63">
        <f>IF($A197="","",IF(AN197="","NOT REVIEWED",IF(TODAY()-AN197&gt;90,"OVERDUE",IF(TODAY()-AN197&gt;76,"Due Soon","Current"))))</f>
        <v/>
      </c>
    </row>
    <row r="198" ht="15" customHeight="1" s="39">
      <c r="A198" s="61" t="n"/>
      <c r="B198" s="60" t="n"/>
      <c r="C198" s="61" t="n"/>
      <c r="D198" s="60" t="n"/>
      <c r="E198" s="60" t="n"/>
      <c r="F198" s="62" t="n"/>
      <c r="G198" s="62" t="n"/>
      <c r="H198" s="60" t="n"/>
      <c r="I198" s="60" t="n"/>
      <c r="J198" s="61" t="n"/>
      <c r="K198" s="61" t="n"/>
      <c r="L198" s="61" t="n"/>
      <c r="M198" s="60" t="n"/>
      <c r="N198" s="60" t="n"/>
      <c r="O198" s="60" t="n"/>
      <c r="P198" s="61" t="n"/>
      <c r="Q198" s="60" t="n"/>
      <c r="R198" s="60" t="n"/>
      <c r="S198" s="60" t="n"/>
      <c r="T198" s="61" t="n"/>
      <c r="U198" s="61" t="n"/>
      <c r="V198" s="60" t="n"/>
      <c r="W198" s="60" t="n"/>
      <c r="X198" s="60" t="n"/>
      <c r="Y198" s="60" t="n"/>
      <c r="Z198" s="61" t="n"/>
      <c r="AA198" s="60" t="n"/>
      <c r="AB198" s="60" t="n"/>
      <c r="AC198" s="60" t="n"/>
      <c r="AD198" s="60" t="n"/>
      <c r="AE198" s="63">
        <f>IF($G198="","",TODAY()-$G198)</f>
        <v/>
      </c>
      <c r="AF198" s="63">
        <f>IF($A198="","",IF($M198&gt;0,"Yes","No"))</f>
        <v/>
      </c>
      <c r="AG198" s="63">
        <f>IF($A198="","",IF(AND($E198="Yes",OR($AA198="No",$AA198="NOT FOUND")),"YES",""))</f>
        <v/>
      </c>
      <c r="AH198" s="66">
        <f>IF($A198="","",TRIM(IF(AND($Y198=0,$I198&lt;&gt;"Yes"),"T0-NoPhishResistant ","")&amp;IF($H198="No","NoMFA ","")&amp;IF(AND($Y198=0,$M198&gt;0),"T0-Standing ","")&amp;IF(AND($Y198=0,$S198="Group only"),"T0-ViaGroupOnly ","")&amp;IF($R198="Yes","BroadAzureScope ","")&amp;IF(AND($E198="Yes",$G198=""),"NeverSignedIn ","")))</f>
        <v/>
      </c>
      <c r="AI198" s="60" t="n"/>
      <c r="AJ198" s="61" t="n"/>
      <c r="AK198" s="60" t="n"/>
      <c r="AL198" s="62" t="n"/>
      <c r="AM198" s="62" t="n"/>
      <c r="AN198" s="62" t="n"/>
      <c r="AO198" s="60" t="n"/>
      <c r="AP198" s="61" t="n"/>
      <c r="AQ198" s="63">
        <f>IF($A198="","",IF(AM198="","Not Enrolled",IF(TODAY()&gt;AM198,"Review Overdue",IF(AM198-TODAY()&lt;=30,"Review Due Soon","Active"))))</f>
        <v/>
      </c>
      <c r="AR198" s="63">
        <f>IF($A198="","",IF(AN198="","NOT REVIEWED",IF(TODAY()-AN198&gt;90,"OVERDUE",IF(TODAY()-AN198&gt;76,"Due Soon","Current"))))</f>
        <v/>
      </c>
    </row>
    <row r="199" ht="15" customHeight="1" s="39">
      <c r="A199" s="61" t="n"/>
      <c r="B199" s="60" t="n"/>
      <c r="C199" s="61" t="n"/>
      <c r="D199" s="60" t="n"/>
      <c r="E199" s="60" t="n"/>
      <c r="F199" s="62" t="n"/>
      <c r="G199" s="62" t="n"/>
      <c r="H199" s="60" t="n"/>
      <c r="I199" s="60" t="n"/>
      <c r="J199" s="61" t="n"/>
      <c r="K199" s="61" t="n"/>
      <c r="L199" s="61" t="n"/>
      <c r="M199" s="60" t="n"/>
      <c r="N199" s="60" t="n"/>
      <c r="O199" s="60" t="n"/>
      <c r="P199" s="61" t="n"/>
      <c r="Q199" s="60" t="n"/>
      <c r="R199" s="60" t="n"/>
      <c r="S199" s="60" t="n"/>
      <c r="T199" s="61" t="n"/>
      <c r="U199" s="61" t="n"/>
      <c r="V199" s="60" t="n"/>
      <c r="W199" s="60" t="n"/>
      <c r="X199" s="60" t="n"/>
      <c r="Y199" s="60" t="n"/>
      <c r="Z199" s="61" t="n"/>
      <c r="AA199" s="60" t="n"/>
      <c r="AB199" s="60" t="n"/>
      <c r="AC199" s="60" t="n"/>
      <c r="AD199" s="60" t="n"/>
      <c r="AE199" s="63">
        <f>IF($G199="","",TODAY()-$G199)</f>
        <v/>
      </c>
      <c r="AF199" s="63">
        <f>IF($A199="","",IF($M199&gt;0,"Yes","No"))</f>
        <v/>
      </c>
      <c r="AG199" s="63">
        <f>IF($A199="","",IF(AND($E199="Yes",OR($AA199="No",$AA199="NOT FOUND")),"YES",""))</f>
        <v/>
      </c>
      <c r="AH199" s="66">
        <f>IF($A199="","",TRIM(IF(AND($Y199=0,$I199&lt;&gt;"Yes"),"T0-NoPhishResistant ","")&amp;IF($H199="No","NoMFA ","")&amp;IF(AND($Y199=0,$M199&gt;0),"T0-Standing ","")&amp;IF(AND($Y199=0,$S199="Group only"),"T0-ViaGroupOnly ","")&amp;IF($R199="Yes","BroadAzureScope ","")&amp;IF(AND($E199="Yes",$G199=""),"NeverSignedIn ","")))</f>
        <v/>
      </c>
      <c r="AI199" s="60" t="n"/>
      <c r="AJ199" s="61" t="n"/>
      <c r="AK199" s="60" t="n"/>
      <c r="AL199" s="62" t="n"/>
      <c r="AM199" s="62" t="n"/>
      <c r="AN199" s="62" t="n"/>
      <c r="AO199" s="60" t="n"/>
      <c r="AP199" s="61" t="n"/>
      <c r="AQ199" s="63">
        <f>IF($A199="","",IF(AM199="","Not Enrolled",IF(TODAY()&gt;AM199,"Review Overdue",IF(AM199-TODAY()&lt;=30,"Review Due Soon","Active"))))</f>
        <v/>
      </c>
      <c r="AR199" s="63">
        <f>IF($A199="","",IF(AN199="","NOT REVIEWED",IF(TODAY()-AN199&gt;90,"OVERDUE",IF(TODAY()-AN199&gt;76,"Due Soon","Current"))))</f>
        <v/>
      </c>
    </row>
    <row r="200" ht="15" customHeight="1" s="39">
      <c r="A200" s="61" t="n"/>
      <c r="B200" s="60" t="n"/>
      <c r="C200" s="61" t="n"/>
      <c r="D200" s="60" t="n"/>
      <c r="E200" s="60" t="n"/>
      <c r="F200" s="62" t="n"/>
      <c r="G200" s="62" t="n"/>
      <c r="H200" s="60" t="n"/>
      <c r="I200" s="60" t="n"/>
      <c r="J200" s="61" t="n"/>
      <c r="K200" s="61" t="n"/>
      <c r="L200" s="61" t="n"/>
      <c r="M200" s="60" t="n"/>
      <c r="N200" s="60" t="n"/>
      <c r="O200" s="60" t="n"/>
      <c r="P200" s="61" t="n"/>
      <c r="Q200" s="60" t="n"/>
      <c r="R200" s="60" t="n"/>
      <c r="S200" s="60" t="n"/>
      <c r="T200" s="61" t="n"/>
      <c r="U200" s="61" t="n"/>
      <c r="V200" s="60" t="n"/>
      <c r="W200" s="60" t="n"/>
      <c r="X200" s="60" t="n"/>
      <c r="Y200" s="60" t="n"/>
      <c r="Z200" s="61" t="n"/>
      <c r="AA200" s="60" t="n"/>
      <c r="AB200" s="60" t="n"/>
      <c r="AC200" s="60" t="n"/>
      <c r="AD200" s="60" t="n"/>
      <c r="AE200" s="63">
        <f>IF($G200="","",TODAY()-$G200)</f>
        <v/>
      </c>
      <c r="AF200" s="63">
        <f>IF($A200="","",IF($M200&gt;0,"Yes","No"))</f>
        <v/>
      </c>
      <c r="AG200" s="63">
        <f>IF($A200="","",IF(AND($E200="Yes",OR($AA200="No",$AA200="NOT FOUND")),"YES",""))</f>
        <v/>
      </c>
      <c r="AH200" s="66">
        <f>IF($A200="","",TRIM(IF(AND($Y200=0,$I200&lt;&gt;"Yes"),"T0-NoPhishResistant ","")&amp;IF($H200="No","NoMFA ","")&amp;IF(AND($Y200=0,$M200&gt;0),"T0-Standing ","")&amp;IF(AND($Y200=0,$S200="Group only"),"T0-ViaGroupOnly ","")&amp;IF($R200="Yes","BroadAzureScope ","")&amp;IF(AND($E200="Yes",$G200=""),"NeverSignedIn ","")))</f>
        <v/>
      </c>
      <c r="AI200" s="60" t="n"/>
      <c r="AJ200" s="61" t="n"/>
      <c r="AK200" s="60" t="n"/>
      <c r="AL200" s="62" t="n"/>
      <c r="AM200" s="62" t="n"/>
      <c r="AN200" s="62" t="n"/>
      <c r="AO200" s="60" t="n"/>
      <c r="AP200" s="61" t="n"/>
      <c r="AQ200" s="63">
        <f>IF($A200="","",IF(AM200="","Not Enrolled",IF(TODAY()&gt;AM200,"Review Overdue",IF(AM200-TODAY()&lt;=30,"Review Due Soon","Active"))))</f>
        <v/>
      </c>
      <c r="AR200" s="63">
        <f>IF($A200="","",IF(AN200="","NOT REVIEWED",IF(TODAY()-AN200&gt;90,"OVERDUE",IF(TODAY()-AN200&gt;76,"Due Soon","Current"))))</f>
        <v/>
      </c>
    </row>
    <row r="201" ht="15" customHeight="1" s="39">
      <c r="A201" s="61" t="n"/>
      <c r="B201" s="60" t="n"/>
      <c r="C201" s="61" t="n"/>
      <c r="D201" s="60" t="n"/>
      <c r="E201" s="60" t="n"/>
      <c r="F201" s="62" t="n"/>
      <c r="G201" s="62" t="n"/>
      <c r="H201" s="60" t="n"/>
      <c r="I201" s="60" t="n"/>
      <c r="J201" s="61" t="n"/>
      <c r="K201" s="61" t="n"/>
      <c r="L201" s="61" t="n"/>
      <c r="M201" s="60" t="n"/>
      <c r="N201" s="60" t="n"/>
      <c r="O201" s="60" t="n"/>
      <c r="P201" s="61" t="n"/>
      <c r="Q201" s="60" t="n"/>
      <c r="R201" s="60" t="n"/>
      <c r="S201" s="60" t="n"/>
      <c r="T201" s="61" t="n"/>
      <c r="U201" s="61" t="n"/>
      <c r="V201" s="60" t="n"/>
      <c r="W201" s="60" t="n"/>
      <c r="X201" s="60" t="n"/>
      <c r="Y201" s="60" t="n"/>
      <c r="Z201" s="61" t="n"/>
      <c r="AA201" s="60" t="n"/>
      <c r="AB201" s="60" t="n"/>
      <c r="AC201" s="60" t="n"/>
      <c r="AD201" s="60" t="n"/>
      <c r="AE201" s="63">
        <f>IF($G201="","",TODAY()-$G201)</f>
        <v/>
      </c>
      <c r="AF201" s="63">
        <f>IF($A201="","",IF($M201&gt;0,"Yes","No"))</f>
        <v/>
      </c>
      <c r="AG201" s="63">
        <f>IF($A201="","",IF(AND($E201="Yes",OR($AA201="No",$AA201="NOT FOUND")),"YES",""))</f>
        <v/>
      </c>
      <c r="AH201" s="66">
        <f>IF($A201="","",TRIM(IF(AND($Y201=0,$I201&lt;&gt;"Yes"),"T0-NoPhishResistant ","")&amp;IF($H201="No","NoMFA ","")&amp;IF(AND($Y201=0,$M201&gt;0),"T0-Standing ","")&amp;IF(AND($Y201=0,$S201="Group only"),"T0-ViaGroupOnly ","")&amp;IF($R201="Yes","BroadAzureScope ","")&amp;IF(AND($E201="Yes",$G201=""),"NeverSignedIn ","")))</f>
        <v/>
      </c>
      <c r="AI201" s="60" t="n"/>
      <c r="AJ201" s="61" t="n"/>
      <c r="AK201" s="60" t="n"/>
      <c r="AL201" s="62" t="n"/>
      <c r="AM201" s="62" t="n"/>
      <c r="AN201" s="62" t="n"/>
      <c r="AO201" s="60" t="n"/>
      <c r="AP201" s="61" t="n"/>
      <c r="AQ201" s="63">
        <f>IF($A201="","",IF(AM201="","Not Enrolled",IF(TODAY()&gt;AM201,"Review Overdue",IF(AM201-TODAY()&lt;=30,"Review Due Soon","Active"))))</f>
        <v/>
      </c>
      <c r="AR201" s="63">
        <f>IF($A201="","",IF(AN201="","NOT REVIEWED",IF(TODAY()-AN201&gt;90,"OVERDUE",IF(TODAY()-AN201&gt;76,"Due Soon","Current"))))</f>
        <v/>
      </c>
    </row>
    <row r="202" ht="15" customHeight="1" s="39">
      <c r="A202" s="61" t="n"/>
      <c r="B202" s="60" t="n"/>
      <c r="C202" s="61" t="n"/>
      <c r="D202" s="60" t="n"/>
      <c r="E202" s="60" t="n"/>
      <c r="F202" s="62" t="n"/>
      <c r="G202" s="62" t="n"/>
      <c r="H202" s="60" t="n"/>
      <c r="I202" s="60" t="n"/>
      <c r="J202" s="61" t="n"/>
      <c r="K202" s="61" t="n"/>
      <c r="L202" s="61" t="n"/>
      <c r="M202" s="60" t="n"/>
      <c r="N202" s="60" t="n"/>
      <c r="O202" s="60" t="n"/>
      <c r="P202" s="61" t="n"/>
      <c r="Q202" s="60" t="n"/>
      <c r="R202" s="60" t="n"/>
      <c r="S202" s="60" t="n"/>
      <c r="T202" s="61" t="n"/>
      <c r="U202" s="61" t="n"/>
      <c r="V202" s="60" t="n"/>
      <c r="W202" s="60" t="n"/>
      <c r="X202" s="60" t="n"/>
      <c r="Y202" s="60" t="n"/>
      <c r="Z202" s="61" t="n"/>
      <c r="AA202" s="60" t="n"/>
      <c r="AB202" s="60" t="n"/>
      <c r="AC202" s="60" t="n"/>
      <c r="AD202" s="60" t="n"/>
      <c r="AE202" s="63">
        <f>IF($G202="","",TODAY()-$G202)</f>
        <v/>
      </c>
      <c r="AF202" s="63">
        <f>IF($A202="","",IF($M202&gt;0,"Yes","No"))</f>
        <v/>
      </c>
      <c r="AG202" s="63">
        <f>IF($A202="","",IF(AND($E202="Yes",OR($AA202="No",$AA202="NOT FOUND")),"YES",""))</f>
        <v/>
      </c>
      <c r="AH202" s="66">
        <f>IF($A202="","",TRIM(IF(AND($Y202=0,$I202&lt;&gt;"Yes"),"T0-NoPhishResistant ","")&amp;IF($H202="No","NoMFA ","")&amp;IF(AND($Y202=0,$M202&gt;0),"T0-Standing ","")&amp;IF(AND($Y202=0,$S202="Group only"),"T0-ViaGroupOnly ","")&amp;IF($R202="Yes","BroadAzureScope ","")&amp;IF(AND($E202="Yes",$G202=""),"NeverSignedIn ","")))</f>
        <v/>
      </c>
      <c r="AI202" s="60" t="n"/>
      <c r="AJ202" s="61" t="n"/>
      <c r="AK202" s="60" t="n"/>
      <c r="AL202" s="62" t="n"/>
      <c r="AM202" s="62" t="n"/>
      <c r="AN202" s="62" t="n"/>
      <c r="AO202" s="60" t="n"/>
      <c r="AP202" s="61" t="n"/>
      <c r="AQ202" s="63">
        <f>IF($A202="","",IF(AM202="","Not Enrolled",IF(TODAY()&gt;AM202,"Review Overdue",IF(AM202-TODAY()&lt;=30,"Review Due Soon","Active"))))</f>
        <v/>
      </c>
      <c r="AR202" s="63">
        <f>IF($A202="","",IF(AN202="","NOT REVIEWED",IF(TODAY()-AN202&gt;90,"OVERDUE",IF(TODAY()-AN202&gt;76,"Due Soon","Current"))))</f>
        <v/>
      </c>
    </row>
    <row r="203" ht="15" customHeight="1" s="39">
      <c r="A203" s="61" t="n"/>
      <c r="B203" s="60" t="n"/>
      <c r="C203" s="61" t="n"/>
      <c r="D203" s="60" t="n"/>
      <c r="E203" s="60" t="n"/>
      <c r="F203" s="62" t="n"/>
      <c r="G203" s="62" t="n"/>
      <c r="H203" s="60" t="n"/>
      <c r="I203" s="60" t="n"/>
      <c r="J203" s="61" t="n"/>
      <c r="K203" s="61" t="n"/>
      <c r="L203" s="61" t="n"/>
      <c r="M203" s="60" t="n"/>
      <c r="N203" s="60" t="n"/>
      <c r="O203" s="60" t="n"/>
      <c r="P203" s="61" t="n"/>
      <c r="Q203" s="60" t="n"/>
      <c r="R203" s="60" t="n"/>
      <c r="S203" s="60" t="n"/>
      <c r="T203" s="61" t="n"/>
      <c r="U203" s="61" t="n"/>
      <c r="V203" s="60" t="n"/>
      <c r="W203" s="60" t="n"/>
      <c r="X203" s="60" t="n"/>
      <c r="Y203" s="60" t="n"/>
      <c r="Z203" s="61" t="n"/>
      <c r="AA203" s="60" t="n"/>
      <c r="AB203" s="60" t="n"/>
      <c r="AC203" s="60" t="n"/>
      <c r="AD203" s="60" t="n"/>
      <c r="AE203" s="63">
        <f>IF($G203="","",TODAY()-$G203)</f>
        <v/>
      </c>
      <c r="AF203" s="63">
        <f>IF($A203="","",IF($M203&gt;0,"Yes","No"))</f>
        <v/>
      </c>
      <c r="AG203" s="63">
        <f>IF($A203="","",IF(AND($E203="Yes",OR($AA203="No",$AA203="NOT FOUND")),"YES",""))</f>
        <v/>
      </c>
      <c r="AH203" s="66">
        <f>IF($A203="","",TRIM(IF(AND($Y203=0,$I203&lt;&gt;"Yes"),"T0-NoPhishResistant ","")&amp;IF($H203="No","NoMFA ","")&amp;IF(AND($Y203=0,$M203&gt;0),"T0-Standing ","")&amp;IF(AND($Y203=0,$S203="Group only"),"T0-ViaGroupOnly ","")&amp;IF($R203="Yes","BroadAzureScope ","")&amp;IF(AND($E203="Yes",$G203=""),"NeverSignedIn ","")))</f>
        <v/>
      </c>
      <c r="AI203" s="60" t="n"/>
      <c r="AJ203" s="61" t="n"/>
      <c r="AK203" s="60" t="n"/>
      <c r="AL203" s="62" t="n"/>
      <c r="AM203" s="62" t="n"/>
      <c r="AN203" s="62" t="n"/>
      <c r="AO203" s="60" t="n"/>
      <c r="AP203" s="61" t="n"/>
      <c r="AQ203" s="63">
        <f>IF($A203="","",IF(AM203="","Not Enrolled",IF(TODAY()&gt;AM203,"Review Overdue",IF(AM203-TODAY()&lt;=30,"Review Due Soon","Active"))))</f>
        <v/>
      </c>
      <c r="AR203" s="63">
        <f>IF($A203="","",IF(AN203="","NOT REVIEWED",IF(TODAY()-AN203&gt;90,"OVERDUE",IF(TODAY()-AN203&gt;76,"Due Soon","Current"))))</f>
        <v/>
      </c>
    </row>
    <row r="204" ht="15" customHeight="1" s="39">
      <c r="A204" s="61" t="n"/>
      <c r="B204" s="60" t="n"/>
      <c r="C204" s="61" t="n"/>
      <c r="D204" s="60" t="n"/>
      <c r="E204" s="60" t="n"/>
      <c r="F204" s="62" t="n"/>
      <c r="G204" s="62" t="n"/>
      <c r="H204" s="60" t="n"/>
      <c r="I204" s="60" t="n"/>
      <c r="J204" s="61" t="n"/>
      <c r="K204" s="61" t="n"/>
      <c r="L204" s="61" t="n"/>
      <c r="M204" s="60" t="n"/>
      <c r="N204" s="60" t="n"/>
      <c r="O204" s="60" t="n"/>
      <c r="P204" s="61" t="n"/>
      <c r="Q204" s="60" t="n"/>
      <c r="R204" s="60" t="n"/>
      <c r="S204" s="60" t="n"/>
      <c r="T204" s="61" t="n"/>
      <c r="U204" s="61" t="n"/>
      <c r="V204" s="60" t="n"/>
      <c r="W204" s="60" t="n"/>
      <c r="X204" s="60" t="n"/>
      <c r="Y204" s="60" t="n"/>
      <c r="Z204" s="61" t="n"/>
      <c r="AA204" s="60" t="n"/>
      <c r="AB204" s="60" t="n"/>
      <c r="AC204" s="60" t="n"/>
      <c r="AD204" s="60" t="n"/>
      <c r="AE204" s="63">
        <f>IF($G204="","",TODAY()-$G204)</f>
        <v/>
      </c>
      <c r="AF204" s="63">
        <f>IF($A204="","",IF($M204&gt;0,"Yes","No"))</f>
        <v/>
      </c>
      <c r="AG204" s="63">
        <f>IF($A204="","",IF(AND($E204="Yes",OR($AA204="No",$AA204="NOT FOUND")),"YES",""))</f>
        <v/>
      </c>
      <c r="AH204" s="66">
        <f>IF($A204="","",TRIM(IF(AND($Y204=0,$I204&lt;&gt;"Yes"),"T0-NoPhishResistant ","")&amp;IF($H204="No","NoMFA ","")&amp;IF(AND($Y204=0,$M204&gt;0),"T0-Standing ","")&amp;IF(AND($Y204=0,$S204="Group only"),"T0-ViaGroupOnly ","")&amp;IF($R204="Yes","BroadAzureScope ","")&amp;IF(AND($E204="Yes",$G204=""),"NeverSignedIn ","")))</f>
        <v/>
      </c>
      <c r="AI204" s="60" t="n"/>
      <c r="AJ204" s="61" t="n"/>
      <c r="AK204" s="60" t="n"/>
      <c r="AL204" s="62" t="n"/>
      <c r="AM204" s="62" t="n"/>
      <c r="AN204" s="62" t="n"/>
      <c r="AO204" s="60" t="n"/>
      <c r="AP204" s="61" t="n"/>
      <c r="AQ204" s="63">
        <f>IF($A204="","",IF(AM204="","Not Enrolled",IF(TODAY()&gt;AM204,"Review Overdue",IF(AM204-TODAY()&lt;=30,"Review Due Soon","Active"))))</f>
        <v/>
      </c>
      <c r="AR204" s="63">
        <f>IF($A204="","",IF(AN204="","NOT REVIEWED",IF(TODAY()-AN204&gt;90,"OVERDUE",IF(TODAY()-AN204&gt;76,"Due Soon","Current"))))</f>
        <v/>
      </c>
    </row>
    <row r="205" ht="15" customHeight="1" s="39">
      <c r="A205" s="61" t="n"/>
      <c r="B205" s="60" t="n"/>
      <c r="C205" s="61" t="n"/>
      <c r="D205" s="60" t="n"/>
      <c r="E205" s="60" t="n"/>
      <c r="F205" s="62" t="n"/>
      <c r="G205" s="62" t="n"/>
      <c r="H205" s="60" t="n"/>
      <c r="I205" s="60" t="n"/>
      <c r="J205" s="61" t="n"/>
      <c r="K205" s="61" t="n"/>
      <c r="L205" s="61" t="n"/>
      <c r="M205" s="60" t="n"/>
      <c r="N205" s="60" t="n"/>
      <c r="O205" s="60" t="n"/>
      <c r="P205" s="61" t="n"/>
      <c r="Q205" s="60" t="n"/>
      <c r="R205" s="60" t="n"/>
      <c r="S205" s="60" t="n"/>
      <c r="T205" s="61" t="n"/>
      <c r="U205" s="61" t="n"/>
      <c r="V205" s="60" t="n"/>
      <c r="W205" s="60" t="n"/>
      <c r="X205" s="60" t="n"/>
      <c r="Y205" s="60" t="n"/>
      <c r="Z205" s="61" t="n"/>
      <c r="AA205" s="60" t="n"/>
      <c r="AB205" s="60" t="n"/>
      <c r="AC205" s="60" t="n"/>
      <c r="AD205" s="60" t="n"/>
      <c r="AE205" s="63">
        <f>IF($G205="","",TODAY()-$G205)</f>
        <v/>
      </c>
      <c r="AF205" s="63">
        <f>IF($A205="","",IF($M205&gt;0,"Yes","No"))</f>
        <v/>
      </c>
      <c r="AG205" s="63">
        <f>IF($A205="","",IF(AND($E205="Yes",OR($AA205="No",$AA205="NOT FOUND")),"YES",""))</f>
        <v/>
      </c>
      <c r="AH205" s="66">
        <f>IF($A205="","",TRIM(IF(AND($Y205=0,$I205&lt;&gt;"Yes"),"T0-NoPhishResistant ","")&amp;IF($H205="No","NoMFA ","")&amp;IF(AND($Y205=0,$M205&gt;0),"T0-Standing ","")&amp;IF(AND($Y205=0,$S205="Group only"),"T0-ViaGroupOnly ","")&amp;IF($R205="Yes","BroadAzureScope ","")&amp;IF(AND($E205="Yes",$G205=""),"NeverSignedIn ","")))</f>
        <v/>
      </c>
      <c r="AI205" s="60" t="n"/>
      <c r="AJ205" s="61" t="n"/>
      <c r="AK205" s="60" t="n"/>
      <c r="AL205" s="62" t="n"/>
      <c r="AM205" s="62" t="n"/>
      <c r="AN205" s="62" t="n"/>
      <c r="AO205" s="60" t="n"/>
      <c r="AP205" s="61" t="n"/>
      <c r="AQ205" s="63">
        <f>IF($A205="","",IF(AM205="","Not Enrolled",IF(TODAY()&gt;AM205,"Review Overdue",IF(AM205-TODAY()&lt;=30,"Review Due Soon","Active"))))</f>
        <v/>
      </c>
      <c r="AR205" s="63">
        <f>IF($A205="","",IF(AN205="","NOT REVIEWED",IF(TODAY()-AN205&gt;90,"OVERDUE",IF(TODAY()-AN205&gt;76,"Due Soon","Current"))))</f>
        <v/>
      </c>
    </row>
    <row r="206" ht="15" customHeight="1" s="39">
      <c r="A206" s="61" t="n"/>
      <c r="B206" s="60" t="n"/>
      <c r="C206" s="61" t="n"/>
      <c r="D206" s="60" t="n"/>
      <c r="E206" s="60" t="n"/>
      <c r="F206" s="62" t="n"/>
      <c r="G206" s="62" t="n"/>
      <c r="H206" s="60" t="n"/>
      <c r="I206" s="60" t="n"/>
      <c r="J206" s="61" t="n"/>
      <c r="K206" s="61" t="n"/>
      <c r="L206" s="61" t="n"/>
      <c r="M206" s="60" t="n"/>
      <c r="N206" s="60" t="n"/>
      <c r="O206" s="60" t="n"/>
      <c r="P206" s="61" t="n"/>
      <c r="Q206" s="60" t="n"/>
      <c r="R206" s="60" t="n"/>
      <c r="S206" s="60" t="n"/>
      <c r="T206" s="61" t="n"/>
      <c r="U206" s="61" t="n"/>
      <c r="V206" s="60" t="n"/>
      <c r="W206" s="60" t="n"/>
      <c r="X206" s="60" t="n"/>
      <c r="Y206" s="60" t="n"/>
      <c r="Z206" s="61" t="n"/>
      <c r="AA206" s="60" t="n"/>
      <c r="AB206" s="60" t="n"/>
      <c r="AC206" s="60" t="n"/>
      <c r="AD206" s="60" t="n"/>
      <c r="AE206" s="63">
        <f>IF($G206="","",TODAY()-$G206)</f>
        <v/>
      </c>
      <c r="AF206" s="63">
        <f>IF($A206="","",IF($M206&gt;0,"Yes","No"))</f>
        <v/>
      </c>
      <c r="AG206" s="63">
        <f>IF($A206="","",IF(AND($E206="Yes",OR($AA206="No",$AA206="NOT FOUND")),"YES",""))</f>
        <v/>
      </c>
      <c r="AH206" s="66">
        <f>IF($A206="","",TRIM(IF(AND($Y206=0,$I206&lt;&gt;"Yes"),"T0-NoPhishResistant ","")&amp;IF($H206="No","NoMFA ","")&amp;IF(AND($Y206=0,$M206&gt;0),"T0-Standing ","")&amp;IF(AND($Y206=0,$S206="Group only"),"T0-ViaGroupOnly ","")&amp;IF($R206="Yes","BroadAzureScope ","")&amp;IF(AND($E206="Yes",$G206=""),"NeverSignedIn ","")))</f>
        <v/>
      </c>
      <c r="AI206" s="60" t="n"/>
      <c r="AJ206" s="61" t="n"/>
      <c r="AK206" s="60" t="n"/>
      <c r="AL206" s="62" t="n"/>
      <c r="AM206" s="62" t="n"/>
      <c r="AN206" s="62" t="n"/>
      <c r="AO206" s="60" t="n"/>
      <c r="AP206" s="61" t="n"/>
      <c r="AQ206" s="63">
        <f>IF($A206="","",IF(AM206="","Not Enrolled",IF(TODAY()&gt;AM206,"Review Overdue",IF(AM206-TODAY()&lt;=30,"Review Due Soon","Active"))))</f>
        <v/>
      </c>
      <c r="AR206" s="63">
        <f>IF($A206="","",IF(AN206="","NOT REVIEWED",IF(TODAY()-AN206&gt;90,"OVERDUE",IF(TODAY()-AN206&gt;76,"Due Soon","Current"))))</f>
        <v/>
      </c>
    </row>
    <row r="207" ht="15" customHeight="1" s="39">
      <c r="A207" s="61" t="n"/>
      <c r="B207" s="60" t="n"/>
      <c r="C207" s="61" t="n"/>
      <c r="D207" s="60" t="n"/>
      <c r="E207" s="60" t="n"/>
      <c r="F207" s="62" t="n"/>
      <c r="G207" s="62" t="n"/>
      <c r="H207" s="60" t="n"/>
      <c r="I207" s="60" t="n"/>
      <c r="J207" s="61" t="n"/>
      <c r="K207" s="61" t="n"/>
      <c r="L207" s="61" t="n"/>
      <c r="M207" s="60" t="n"/>
      <c r="N207" s="60" t="n"/>
      <c r="O207" s="60" t="n"/>
      <c r="P207" s="61" t="n"/>
      <c r="Q207" s="60" t="n"/>
      <c r="R207" s="60" t="n"/>
      <c r="S207" s="60" t="n"/>
      <c r="T207" s="61" t="n"/>
      <c r="U207" s="61" t="n"/>
      <c r="V207" s="60" t="n"/>
      <c r="W207" s="60" t="n"/>
      <c r="X207" s="60" t="n"/>
      <c r="Y207" s="60" t="n"/>
      <c r="Z207" s="61" t="n"/>
      <c r="AA207" s="60" t="n"/>
      <c r="AB207" s="60" t="n"/>
      <c r="AC207" s="60" t="n"/>
      <c r="AD207" s="60" t="n"/>
      <c r="AE207" s="63">
        <f>IF($G207="","",TODAY()-$G207)</f>
        <v/>
      </c>
      <c r="AF207" s="63">
        <f>IF($A207="","",IF($M207&gt;0,"Yes","No"))</f>
        <v/>
      </c>
      <c r="AG207" s="63">
        <f>IF($A207="","",IF(AND($E207="Yes",OR($AA207="No",$AA207="NOT FOUND")),"YES",""))</f>
        <v/>
      </c>
      <c r="AH207" s="66">
        <f>IF($A207="","",TRIM(IF(AND($Y207=0,$I207&lt;&gt;"Yes"),"T0-NoPhishResistant ","")&amp;IF($H207="No","NoMFA ","")&amp;IF(AND($Y207=0,$M207&gt;0),"T0-Standing ","")&amp;IF(AND($Y207=0,$S207="Group only"),"T0-ViaGroupOnly ","")&amp;IF($R207="Yes","BroadAzureScope ","")&amp;IF(AND($E207="Yes",$G207=""),"NeverSignedIn ","")))</f>
        <v/>
      </c>
      <c r="AI207" s="60" t="n"/>
      <c r="AJ207" s="61" t="n"/>
      <c r="AK207" s="60" t="n"/>
      <c r="AL207" s="62" t="n"/>
      <c r="AM207" s="62" t="n"/>
      <c r="AN207" s="62" t="n"/>
      <c r="AO207" s="60" t="n"/>
      <c r="AP207" s="61" t="n"/>
      <c r="AQ207" s="63">
        <f>IF($A207="","",IF(AM207="","Not Enrolled",IF(TODAY()&gt;AM207,"Review Overdue",IF(AM207-TODAY()&lt;=30,"Review Due Soon","Active"))))</f>
        <v/>
      </c>
      <c r="AR207" s="63">
        <f>IF($A207="","",IF(AN207="","NOT REVIEWED",IF(TODAY()-AN207&gt;90,"OVERDUE",IF(TODAY()-AN207&gt;76,"Due Soon","Current"))))</f>
        <v/>
      </c>
    </row>
    <row r="208" ht="15" customHeight="1" s="39">
      <c r="A208" s="61" t="n"/>
      <c r="B208" s="60" t="n"/>
      <c r="C208" s="61" t="n"/>
      <c r="D208" s="60" t="n"/>
      <c r="E208" s="60" t="n"/>
      <c r="F208" s="62" t="n"/>
      <c r="G208" s="62" t="n"/>
      <c r="H208" s="60" t="n"/>
      <c r="I208" s="60" t="n"/>
      <c r="J208" s="61" t="n"/>
      <c r="K208" s="61" t="n"/>
      <c r="L208" s="61" t="n"/>
      <c r="M208" s="60" t="n"/>
      <c r="N208" s="60" t="n"/>
      <c r="O208" s="60" t="n"/>
      <c r="P208" s="61" t="n"/>
      <c r="Q208" s="60" t="n"/>
      <c r="R208" s="60" t="n"/>
      <c r="S208" s="60" t="n"/>
      <c r="T208" s="61" t="n"/>
      <c r="U208" s="61" t="n"/>
      <c r="V208" s="60" t="n"/>
      <c r="W208" s="60" t="n"/>
      <c r="X208" s="60" t="n"/>
      <c r="Y208" s="60" t="n"/>
      <c r="Z208" s="61" t="n"/>
      <c r="AA208" s="60" t="n"/>
      <c r="AB208" s="60" t="n"/>
      <c r="AC208" s="60" t="n"/>
      <c r="AD208" s="60" t="n"/>
      <c r="AE208" s="63">
        <f>IF($G208="","",TODAY()-$G208)</f>
        <v/>
      </c>
      <c r="AF208" s="63">
        <f>IF($A208="","",IF($M208&gt;0,"Yes","No"))</f>
        <v/>
      </c>
      <c r="AG208" s="63">
        <f>IF($A208="","",IF(AND($E208="Yes",OR($AA208="No",$AA208="NOT FOUND")),"YES",""))</f>
        <v/>
      </c>
      <c r="AH208" s="66">
        <f>IF($A208="","",TRIM(IF(AND($Y208=0,$I208&lt;&gt;"Yes"),"T0-NoPhishResistant ","")&amp;IF($H208="No","NoMFA ","")&amp;IF(AND($Y208=0,$M208&gt;0),"T0-Standing ","")&amp;IF(AND($Y208=0,$S208="Group only"),"T0-ViaGroupOnly ","")&amp;IF($R208="Yes","BroadAzureScope ","")&amp;IF(AND($E208="Yes",$G208=""),"NeverSignedIn ","")))</f>
        <v/>
      </c>
      <c r="AI208" s="60" t="n"/>
      <c r="AJ208" s="61" t="n"/>
      <c r="AK208" s="60" t="n"/>
      <c r="AL208" s="62" t="n"/>
      <c r="AM208" s="62" t="n"/>
      <c r="AN208" s="62" t="n"/>
      <c r="AO208" s="60" t="n"/>
      <c r="AP208" s="61" t="n"/>
      <c r="AQ208" s="63">
        <f>IF($A208="","",IF(AM208="","Not Enrolled",IF(TODAY()&gt;AM208,"Review Overdue",IF(AM208-TODAY()&lt;=30,"Review Due Soon","Active"))))</f>
        <v/>
      </c>
      <c r="AR208" s="63">
        <f>IF($A208="","",IF(AN208="","NOT REVIEWED",IF(TODAY()-AN208&gt;90,"OVERDUE",IF(TODAY()-AN208&gt;76,"Due Soon","Current"))))</f>
        <v/>
      </c>
    </row>
    <row r="209" ht="15" customHeight="1" s="39">
      <c r="A209" s="61" t="n"/>
      <c r="B209" s="60" t="n"/>
      <c r="C209" s="61" t="n"/>
      <c r="D209" s="60" t="n"/>
      <c r="E209" s="60" t="n"/>
      <c r="F209" s="62" t="n"/>
      <c r="G209" s="62" t="n"/>
      <c r="H209" s="60" t="n"/>
      <c r="I209" s="60" t="n"/>
      <c r="J209" s="61" t="n"/>
      <c r="K209" s="61" t="n"/>
      <c r="L209" s="61" t="n"/>
      <c r="M209" s="60" t="n"/>
      <c r="N209" s="60" t="n"/>
      <c r="O209" s="60" t="n"/>
      <c r="P209" s="61" t="n"/>
      <c r="Q209" s="60" t="n"/>
      <c r="R209" s="60" t="n"/>
      <c r="S209" s="60" t="n"/>
      <c r="T209" s="61" t="n"/>
      <c r="U209" s="61" t="n"/>
      <c r="V209" s="60" t="n"/>
      <c r="W209" s="60" t="n"/>
      <c r="X209" s="60" t="n"/>
      <c r="Y209" s="60" t="n"/>
      <c r="Z209" s="61" t="n"/>
      <c r="AA209" s="60" t="n"/>
      <c r="AB209" s="60" t="n"/>
      <c r="AC209" s="60" t="n"/>
      <c r="AD209" s="60" t="n"/>
      <c r="AE209" s="63">
        <f>IF($G209="","",TODAY()-$G209)</f>
        <v/>
      </c>
      <c r="AF209" s="63">
        <f>IF($A209="","",IF($M209&gt;0,"Yes","No"))</f>
        <v/>
      </c>
      <c r="AG209" s="63">
        <f>IF($A209="","",IF(AND($E209="Yes",OR($AA209="No",$AA209="NOT FOUND")),"YES",""))</f>
        <v/>
      </c>
      <c r="AH209" s="66">
        <f>IF($A209="","",TRIM(IF(AND($Y209=0,$I209&lt;&gt;"Yes"),"T0-NoPhishResistant ","")&amp;IF($H209="No","NoMFA ","")&amp;IF(AND($Y209=0,$M209&gt;0),"T0-Standing ","")&amp;IF(AND($Y209=0,$S209="Group only"),"T0-ViaGroupOnly ","")&amp;IF($R209="Yes","BroadAzureScope ","")&amp;IF(AND($E209="Yes",$G209=""),"NeverSignedIn ","")))</f>
        <v/>
      </c>
      <c r="AI209" s="60" t="n"/>
      <c r="AJ209" s="61" t="n"/>
      <c r="AK209" s="60" t="n"/>
      <c r="AL209" s="62" t="n"/>
      <c r="AM209" s="62" t="n"/>
      <c r="AN209" s="62" t="n"/>
      <c r="AO209" s="60" t="n"/>
      <c r="AP209" s="61" t="n"/>
      <c r="AQ209" s="63">
        <f>IF($A209="","",IF(AM209="","Not Enrolled",IF(TODAY()&gt;AM209,"Review Overdue",IF(AM209-TODAY()&lt;=30,"Review Due Soon","Active"))))</f>
        <v/>
      </c>
      <c r="AR209" s="63">
        <f>IF($A209="","",IF(AN209="","NOT REVIEWED",IF(TODAY()-AN209&gt;90,"OVERDUE",IF(TODAY()-AN209&gt;76,"Due Soon","Current"))))</f>
        <v/>
      </c>
    </row>
    <row r="210" ht="15" customHeight="1" s="39">
      <c r="A210" s="61" t="n"/>
      <c r="B210" s="60" t="n"/>
      <c r="C210" s="61" t="n"/>
      <c r="D210" s="60" t="n"/>
      <c r="E210" s="60" t="n"/>
      <c r="F210" s="62" t="n"/>
      <c r="G210" s="62" t="n"/>
      <c r="H210" s="60" t="n"/>
      <c r="I210" s="60" t="n"/>
      <c r="J210" s="61" t="n"/>
      <c r="K210" s="61" t="n"/>
      <c r="L210" s="61" t="n"/>
      <c r="M210" s="60" t="n"/>
      <c r="N210" s="60" t="n"/>
      <c r="O210" s="60" t="n"/>
      <c r="P210" s="61" t="n"/>
      <c r="Q210" s="60" t="n"/>
      <c r="R210" s="60" t="n"/>
      <c r="S210" s="60" t="n"/>
      <c r="T210" s="61" t="n"/>
      <c r="U210" s="61" t="n"/>
      <c r="V210" s="60" t="n"/>
      <c r="W210" s="60" t="n"/>
      <c r="X210" s="60" t="n"/>
      <c r="Y210" s="60" t="n"/>
      <c r="Z210" s="61" t="n"/>
      <c r="AA210" s="60" t="n"/>
      <c r="AB210" s="60" t="n"/>
      <c r="AC210" s="60" t="n"/>
      <c r="AD210" s="60" t="n"/>
      <c r="AE210" s="63">
        <f>IF($G210="","",TODAY()-$G210)</f>
        <v/>
      </c>
      <c r="AF210" s="63">
        <f>IF($A210="","",IF($M210&gt;0,"Yes","No"))</f>
        <v/>
      </c>
      <c r="AG210" s="63">
        <f>IF($A210="","",IF(AND($E210="Yes",OR($AA210="No",$AA210="NOT FOUND")),"YES",""))</f>
        <v/>
      </c>
      <c r="AH210" s="66">
        <f>IF($A210="","",TRIM(IF(AND($Y210=0,$I210&lt;&gt;"Yes"),"T0-NoPhishResistant ","")&amp;IF($H210="No","NoMFA ","")&amp;IF(AND($Y210=0,$M210&gt;0),"T0-Standing ","")&amp;IF(AND($Y210=0,$S210="Group only"),"T0-ViaGroupOnly ","")&amp;IF($R210="Yes","BroadAzureScope ","")&amp;IF(AND($E210="Yes",$G210=""),"NeverSignedIn ","")))</f>
        <v/>
      </c>
      <c r="AI210" s="60" t="n"/>
      <c r="AJ210" s="61" t="n"/>
      <c r="AK210" s="60" t="n"/>
      <c r="AL210" s="62" t="n"/>
      <c r="AM210" s="62" t="n"/>
      <c r="AN210" s="62" t="n"/>
      <c r="AO210" s="60" t="n"/>
      <c r="AP210" s="61" t="n"/>
      <c r="AQ210" s="63">
        <f>IF($A210="","",IF(AM210="","Not Enrolled",IF(TODAY()&gt;AM210,"Review Overdue",IF(AM210-TODAY()&lt;=30,"Review Due Soon","Active"))))</f>
        <v/>
      </c>
      <c r="AR210" s="63">
        <f>IF($A210="","",IF(AN210="","NOT REVIEWED",IF(TODAY()-AN210&gt;90,"OVERDUE",IF(TODAY()-AN210&gt;76,"Due Soon","Current"))))</f>
        <v/>
      </c>
    </row>
    <row r="211" ht="15" customHeight="1" s="39">
      <c r="A211" s="61" t="n"/>
      <c r="B211" s="60" t="n"/>
      <c r="C211" s="61" t="n"/>
      <c r="D211" s="60" t="n"/>
      <c r="E211" s="60" t="n"/>
      <c r="F211" s="62" t="n"/>
      <c r="G211" s="62" t="n"/>
      <c r="H211" s="60" t="n"/>
      <c r="I211" s="60" t="n"/>
      <c r="J211" s="61" t="n"/>
      <c r="K211" s="61" t="n"/>
      <c r="L211" s="61" t="n"/>
      <c r="M211" s="60" t="n"/>
      <c r="N211" s="60" t="n"/>
      <c r="O211" s="60" t="n"/>
      <c r="P211" s="61" t="n"/>
      <c r="Q211" s="60" t="n"/>
      <c r="R211" s="60" t="n"/>
      <c r="S211" s="60" t="n"/>
      <c r="T211" s="61" t="n"/>
      <c r="U211" s="61" t="n"/>
      <c r="V211" s="60" t="n"/>
      <c r="W211" s="60" t="n"/>
      <c r="X211" s="60" t="n"/>
      <c r="Y211" s="60" t="n"/>
      <c r="Z211" s="61" t="n"/>
      <c r="AA211" s="60" t="n"/>
      <c r="AB211" s="60" t="n"/>
      <c r="AC211" s="60" t="n"/>
      <c r="AD211" s="60" t="n"/>
      <c r="AE211" s="63">
        <f>IF($G211="","",TODAY()-$G211)</f>
        <v/>
      </c>
      <c r="AF211" s="63">
        <f>IF($A211="","",IF($M211&gt;0,"Yes","No"))</f>
        <v/>
      </c>
      <c r="AG211" s="63">
        <f>IF($A211="","",IF(AND($E211="Yes",OR($AA211="No",$AA211="NOT FOUND")),"YES",""))</f>
        <v/>
      </c>
      <c r="AH211" s="66">
        <f>IF($A211="","",TRIM(IF(AND($Y211=0,$I211&lt;&gt;"Yes"),"T0-NoPhishResistant ","")&amp;IF($H211="No","NoMFA ","")&amp;IF(AND($Y211=0,$M211&gt;0),"T0-Standing ","")&amp;IF(AND($Y211=0,$S211="Group only"),"T0-ViaGroupOnly ","")&amp;IF($R211="Yes","BroadAzureScope ","")&amp;IF(AND($E211="Yes",$G211=""),"NeverSignedIn ","")))</f>
        <v/>
      </c>
      <c r="AI211" s="60" t="n"/>
      <c r="AJ211" s="61" t="n"/>
      <c r="AK211" s="60" t="n"/>
      <c r="AL211" s="62" t="n"/>
      <c r="AM211" s="62" t="n"/>
      <c r="AN211" s="62" t="n"/>
      <c r="AO211" s="60" t="n"/>
      <c r="AP211" s="61" t="n"/>
      <c r="AQ211" s="63">
        <f>IF($A211="","",IF(AM211="","Not Enrolled",IF(TODAY()&gt;AM211,"Review Overdue",IF(AM211-TODAY()&lt;=30,"Review Due Soon","Active"))))</f>
        <v/>
      </c>
      <c r="AR211" s="63">
        <f>IF($A211="","",IF(AN211="","NOT REVIEWED",IF(TODAY()-AN211&gt;90,"OVERDUE",IF(TODAY()-AN211&gt;76,"Due Soon","Current"))))</f>
        <v/>
      </c>
    </row>
    <row r="212" ht="15" customHeight="1" s="39">
      <c r="A212" s="61" t="n"/>
      <c r="B212" s="60" t="n"/>
      <c r="C212" s="61" t="n"/>
      <c r="D212" s="60" t="n"/>
      <c r="E212" s="60" t="n"/>
      <c r="F212" s="62" t="n"/>
      <c r="G212" s="62" t="n"/>
      <c r="H212" s="60" t="n"/>
      <c r="I212" s="60" t="n"/>
      <c r="J212" s="61" t="n"/>
      <c r="K212" s="61" t="n"/>
      <c r="L212" s="61" t="n"/>
      <c r="M212" s="60" t="n"/>
      <c r="N212" s="60" t="n"/>
      <c r="O212" s="60" t="n"/>
      <c r="P212" s="61" t="n"/>
      <c r="Q212" s="60" t="n"/>
      <c r="R212" s="60" t="n"/>
      <c r="S212" s="60" t="n"/>
      <c r="T212" s="61" t="n"/>
      <c r="U212" s="61" t="n"/>
      <c r="V212" s="60" t="n"/>
      <c r="W212" s="60" t="n"/>
      <c r="X212" s="60" t="n"/>
      <c r="Y212" s="60" t="n"/>
      <c r="Z212" s="61" t="n"/>
      <c r="AA212" s="60" t="n"/>
      <c r="AB212" s="60" t="n"/>
      <c r="AC212" s="60" t="n"/>
      <c r="AD212" s="60" t="n"/>
      <c r="AE212" s="63">
        <f>IF($G212="","",TODAY()-$G212)</f>
        <v/>
      </c>
      <c r="AF212" s="63">
        <f>IF($A212="","",IF($M212&gt;0,"Yes","No"))</f>
        <v/>
      </c>
      <c r="AG212" s="63">
        <f>IF($A212="","",IF(AND($E212="Yes",OR($AA212="No",$AA212="NOT FOUND")),"YES",""))</f>
        <v/>
      </c>
      <c r="AH212" s="66">
        <f>IF($A212="","",TRIM(IF(AND($Y212=0,$I212&lt;&gt;"Yes"),"T0-NoPhishResistant ","")&amp;IF($H212="No","NoMFA ","")&amp;IF(AND($Y212=0,$M212&gt;0),"T0-Standing ","")&amp;IF(AND($Y212=0,$S212="Group only"),"T0-ViaGroupOnly ","")&amp;IF($R212="Yes","BroadAzureScope ","")&amp;IF(AND($E212="Yes",$G212=""),"NeverSignedIn ","")))</f>
        <v/>
      </c>
      <c r="AI212" s="60" t="n"/>
      <c r="AJ212" s="61" t="n"/>
      <c r="AK212" s="60" t="n"/>
      <c r="AL212" s="62" t="n"/>
      <c r="AM212" s="62" t="n"/>
      <c r="AN212" s="62" t="n"/>
      <c r="AO212" s="60" t="n"/>
      <c r="AP212" s="61" t="n"/>
      <c r="AQ212" s="63">
        <f>IF($A212="","",IF(AM212="","Not Enrolled",IF(TODAY()&gt;AM212,"Review Overdue",IF(AM212-TODAY()&lt;=30,"Review Due Soon","Active"))))</f>
        <v/>
      </c>
      <c r="AR212" s="63">
        <f>IF($A212="","",IF(AN212="","NOT REVIEWED",IF(TODAY()-AN212&gt;90,"OVERDUE",IF(TODAY()-AN212&gt;76,"Due Soon","Current"))))</f>
        <v/>
      </c>
    </row>
    <row r="213" ht="15" customHeight="1" s="39">
      <c r="A213" s="61" t="n"/>
      <c r="B213" s="60" t="n"/>
      <c r="C213" s="61" t="n"/>
      <c r="D213" s="60" t="n"/>
      <c r="E213" s="60" t="n"/>
      <c r="F213" s="62" t="n"/>
      <c r="G213" s="62" t="n"/>
      <c r="H213" s="60" t="n"/>
      <c r="I213" s="60" t="n"/>
      <c r="J213" s="61" t="n"/>
      <c r="K213" s="61" t="n"/>
      <c r="L213" s="61" t="n"/>
      <c r="M213" s="60" t="n"/>
      <c r="N213" s="60" t="n"/>
      <c r="O213" s="60" t="n"/>
      <c r="P213" s="61" t="n"/>
      <c r="Q213" s="60" t="n"/>
      <c r="R213" s="60" t="n"/>
      <c r="S213" s="60" t="n"/>
      <c r="T213" s="61" t="n"/>
      <c r="U213" s="61" t="n"/>
      <c r="V213" s="60" t="n"/>
      <c r="W213" s="60" t="n"/>
      <c r="X213" s="60" t="n"/>
      <c r="Y213" s="60" t="n"/>
      <c r="Z213" s="61" t="n"/>
      <c r="AA213" s="60" t="n"/>
      <c r="AB213" s="60" t="n"/>
      <c r="AC213" s="60" t="n"/>
      <c r="AD213" s="60" t="n"/>
      <c r="AE213" s="63">
        <f>IF($G213="","",TODAY()-$G213)</f>
        <v/>
      </c>
      <c r="AF213" s="63">
        <f>IF($A213="","",IF($M213&gt;0,"Yes","No"))</f>
        <v/>
      </c>
      <c r="AG213" s="63">
        <f>IF($A213="","",IF(AND($E213="Yes",OR($AA213="No",$AA213="NOT FOUND")),"YES",""))</f>
        <v/>
      </c>
      <c r="AH213" s="66">
        <f>IF($A213="","",TRIM(IF(AND($Y213=0,$I213&lt;&gt;"Yes"),"T0-NoPhishResistant ","")&amp;IF($H213="No","NoMFA ","")&amp;IF(AND($Y213=0,$M213&gt;0),"T0-Standing ","")&amp;IF(AND($Y213=0,$S213="Group only"),"T0-ViaGroupOnly ","")&amp;IF($R213="Yes","BroadAzureScope ","")&amp;IF(AND($E213="Yes",$G213=""),"NeverSignedIn ","")))</f>
        <v/>
      </c>
      <c r="AI213" s="60" t="n"/>
      <c r="AJ213" s="61" t="n"/>
      <c r="AK213" s="60" t="n"/>
      <c r="AL213" s="62" t="n"/>
      <c r="AM213" s="62" t="n"/>
      <c r="AN213" s="62" t="n"/>
      <c r="AO213" s="60" t="n"/>
      <c r="AP213" s="61" t="n"/>
      <c r="AQ213" s="63">
        <f>IF($A213="","",IF(AM213="","Not Enrolled",IF(TODAY()&gt;AM213,"Review Overdue",IF(AM213-TODAY()&lt;=30,"Review Due Soon","Active"))))</f>
        <v/>
      </c>
      <c r="AR213" s="63">
        <f>IF($A213="","",IF(AN213="","NOT REVIEWED",IF(TODAY()-AN213&gt;90,"OVERDUE",IF(TODAY()-AN213&gt;76,"Due Soon","Current"))))</f>
        <v/>
      </c>
    </row>
    <row r="214" ht="15" customHeight="1" s="39">
      <c r="A214" s="61" t="n"/>
      <c r="B214" s="60" t="n"/>
      <c r="C214" s="61" t="n"/>
      <c r="D214" s="60" t="n"/>
      <c r="E214" s="60" t="n"/>
      <c r="F214" s="62" t="n"/>
      <c r="G214" s="62" t="n"/>
      <c r="H214" s="60" t="n"/>
      <c r="I214" s="60" t="n"/>
      <c r="J214" s="61" t="n"/>
      <c r="K214" s="61" t="n"/>
      <c r="L214" s="61" t="n"/>
      <c r="M214" s="60" t="n"/>
      <c r="N214" s="60" t="n"/>
      <c r="O214" s="60" t="n"/>
      <c r="P214" s="61" t="n"/>
      <c r="Q214" s="60" t="n"/>
      <c r="R214" s="60" t="n"/>
      <c r="S214" s="60" t="n"/>
      <c r="T214" s="61" t="n"/>
      <c r="U214" s="61" t="n"/>
      <c r="V214" s="60" t="n"/>
      <c r="W214" s="60" t="n"/>
      <c r="X214" s="60" t="n"/>
      <c r="Y214" s="60" t="n"/>
      <c r="Z214" s="61" t="n"/>
      <c r="AA214" s="60" t="n"/>
      <c r="AB214" s="60" t="n"/>
      <c r="AC214" s="60" t="n"/>
      <c r="AD214" s="60" t="n"/>
      <c r="AE214" s="63">
        <f>IF($G214="","",TODAY()-$G214)</f>
        <v/>
      </c>
      <c r="AF214" s="63">
        <f>IF($A214="","",IF($M214&gt;0,"Yes","No"))</f>
        <v/>
      </c>
      <c r="AG214" s="63">
        <f>IF($A214="","",IF(AND($E214="Yes",OR($AA214="No",$AA214="NOT FOUND")),"YES",""))</f>
        <v/>
      </c>
      <c r="AH214" s="66">
        <f>IF($A214="","",TRIM(IF(AND($Y214=0,$I214&lt;&gt;"Yes"),"T0-NoPhishResistant ","")&amp;IF($H214="No","NoMFA ","")&amp;IF(AND($Y214=0,$M214&gt;0),"T0-Standing ","")&amp;IF(AND($Y214=0,$S214="Group only"),"T0-ViaGroupOnly ","")&amp;IF($R214="Yes","BroadAzureScope ","")&amp;IF(AND($E214="Yes",$G214=""),"NeverSignedIn ","")))</f>
        <v/>
      </c>
      <c r="AI214" s="60" t="n"/>
      <c r="AJ214" s="61" t="n"/>
      <c r="AK214" s="60" t="n"/>
      <c r="AL214" s="62" t="n"/>
      <c r="AM214" s="62" t="n"/>
      <c r="AN214" s="62" t="n"/>
      <c r="AO214" s="60" t="n"/>
      <c r="AP214" s="61" t="n"/>
      <c r="AQ214" s="63">
        <f>IF($A214="","",IF(AM214="","Not Enrolled",IF(TODAY()&gt;AM214,"Review Overdue",IF(AM214-TODAY()&lt;=30,"Review Due Soon","Active"))))</f>
        <v/>
      </c>
      <c r="AR214" s="63">
        <f>IF($A214="","",IF(AN214="","NOT REVIEWED",IF(TODAY()-AN214&gt;90,"OVERDUE",IF(TODAY()-AN214&gt;76,"Due Soon","Current"))))</f>
        <v/>
      </c>
    </row>
    <row r="215" ht="15" customHeight="1" s="39">
      <c r="A215" s="61" t="n"/>
      <c r="B215" s="60" t="n"/>
      <c r="C215" s="61" t="n"/>
      <c r="D215" s="60" t="n"/>
      <c r="E215" s="60" t="n"/>
      <c r="F215" s="62" t="n"/>
      <c r="G215" s="62" t="n"/>
      <c r="H215" s="60" t="n"/>
      <c r="I215" s="60" t="n"/>
      <c r="J215" s="61" t="n"/>
      <c r="K215" s="61" t="n"/>
      <c r="L215" s="61" t="n"/>
      <c r="M215" s="60" t="n"/>
      <c r="N215" s="60" t="n"/>
      <c r="O215" s="60" t="n"/>
      <c r="P215" s="61" t="n"/>
      <c r="Q215" s="60" t="n"/>
      <c r="R215" s="60" t="n"/>
      <c r="S215" s="60" t="n"/>
      <c r="T215" s="61" t="n"/>
      <c r="U215" s="61" t="n"/>
      <c r="V215" s="60" t="n"/>
      <c r="W215" s="60" t="n"/>
      <c r="X215" s="60" t="n"/>
      <c r="Y215" s="60" t="n"/>
      <c r="Z215" s="61" t="n"/>
      <c r="AA215" s="60" t="n"/>
      <c r="AB215" s="60" t="n"/>
      <c r="AC215" s="60" t="n"/>
      <c r="AD215" s="60" t="n"/>
      <c r="AE215" s="63">
        <f>IF($G215="","",TODAY()-$G215)</f>
        <v/>
      </c>
      <c r="AF215" s="63">
        <f>IF($A215="","",IF($M215&gt;0,"Yes","No"))</f>
        <v/>
      </c>
      <c r="AG215" s="63">
        <f>IF($A215="","",IF(AND($E215="Yes",OR($AA215="No",$AA215="NOT FOUND")),"YES",""))</f>
        <v/>
      </c>
      <c r="AH215" s="66">
        <f>IF($A215="","",TRIM(IF(AND($Y215=0,$I215&lt;&gt;"Yes"),"T0-NoPhishResistant ","")&amp;IF($H215="No","NoMFA ","")&amp;IF(AND($Y215=0,$M215&gt;0),"T0-Standing ","")&amp;IF(AND($Y215=0,$S215="Group only"),"T0-ViaGroupOnly ","")&amp;IF($R215="Yes","BroadAzureScope ","")&amp;IF(AND($E215="Yes",$G215=""),"NeverSignedIn ","")))</f>
        <v/>
      </c>
      <c r="AI215" s="60" t="n"/>
      <c r="AJ215" s="61" t="n"/>
      <c r="AK215" s="60" t="n"/>
      <c r="AL215" s="62" t="n"/>
      <c r="AM215" s="62" t="n"/>
      <c r="AN215" s="62" t="n"/>
      <c r="AO215" s="60" t="n"/>
      <c r="AP215" s="61" t="n"/>
      <c r="AQ215" s="63">
        <f>IF($A215="","",IF(AM215="","Not Enrolled",IF(TODAY()&gt;AM215,"Review Overdue",IF(AM215-TODAY()&lt;=30,"Review Due Soon","Active"))))</f>
        <v/>
      </c>
      <c r="AR215" s="63">
        <f>IF($A215="","",IF(AN215="","NOT REVIEWED",IF(TODAY()-AN215&gt;90,"OVERDUE",IF(TODAY()-AN215&gt;76,"Due Soon","Current"))))</f>
        <v/>
      </c>
    </row>
    <row r="216" ht="15" customHeight="1" s="39">
      <c r="A216" s="61" t="n"/>
      <c r="B216" s="60" t="n"/>
      <c r="C216" s="61" t="n"/>
      <c r="D216" s="60" t="n"/>
      <c r="E216" s="60" t="n"/>
      <c r="F216" s="62" t="n"/>
      <c r="G216" s="62" t="n"/>
      <c r="H216" s="60" t="n"/>
      <c r="I216" s="60" t="n"/>
      <c r="J216" s="61" t="n"/>
      <c r="K216" s="61" t="n"/>
      <c r="L216" s="61" t="n"/>
      <c r="M216" s="60" t="n"/>
      <c r="N216" s="60" t="n"/>
      <c r="O216" s="60" t="n"/>
      <c r="P216" s="61" t="n"/>
      <c r="Q216" s="60" t="n"/>
      <c r="R216" s="60" t="n"/>
      <c r="S216" s="60" t="n"/>
      <c r="T216" s="61" t="n"/>
      <c r="U216" s="61" t="n"/>
      <c r="V216" s="60" t="n"/>
      <c r="W216" s="60" t="n"/>
      <c r="X216" s="60" t="n"/>
      <c r="Y216" s="60" t="n"/>
      <c r="Z216" s="61" t="n"/>
      <c r="AA216" s="60" t="n"/>
      <c r="AB216" s="60" t="n"/>
      <c r="AC216" s="60" t="n"/>
      <c r="AD216" s="60" t="n"/>
      <c r="AE216" s="63">
        <f>IF($G216="","",TODAY()-$G216)</f>
        <v/>
      </c>
      <c r="AF216" s="63">
        <f>IF($A216="","",IF($M216&gt;0,"Yes","No"))</f>
        <v/>
      </c>
      <c r="AG216" s="63">
        <f>IF($A216="","",IF(AND($E216="Yes",OR($AA216="No",$AA216="NOT FOUND")),"YES",""))</f>
        <v/>
      </c>
      <c r="AH216" s="66">
        <f>IF($A216="","",TRIM(IF(AND($Y216=0,$I216&lt;&gt;"Yes"),"T0-NoPhishResistant ","")&amp;IF($H216="No","NoMFA ","")&amp;IF(AND($Y216=0,$M216&gt;0),"T0-Standing ","")&amp;IF(AND($Y216=0,$S216="Group only"),"T0-ViaGroupOnly ","")&amp;IF($R216="Yes","BroadAzureScope ","")&amp;IF(AND($E216="Yes",$G216=""),"NeverSignedIn ","")))</f>
        <v/>
      </c>
      <c r="AI216" s="60" t="n"/>
      <c r="AJ216" s="61" t="n"/>
      <c r="AK216" s="60" t="n"/>
      <c r="AL216" s="62" t="n"/>
      <c r="AM216" s="62" t="n"/>
      <c r="AN216" s="62" t="n"/>
      <c r="AO216" s="60" t="n"/>
      <c r="AP216" s="61" t="n"/>
      <c r="AQ216" s="63">
        <f>IF($A216="","",IF(AM216="","Not Enrolled",IF(TODAY()&gt;AM216,"Review Overdue",IF(AM216-TODAY()&lt;=30,"Review Due Soon","Active"))))</f>
        <v/>
      </c>
      <c r="AR216" s="63">
        <f>IF($A216="","",IF(AN216="","NOT REVIEWED",IF(TODAY()-AN216&gt;90,"OVERDUE",IF(TODAY()-AN216&gt;76,"Due Soon","Current"))))</f>
        <v/>
      </c>
    </row>
    <row r="217" ht="15" customHeight="1" s="39">
      <c r="A217" s="61" t="n"/>
      <c r="B217" s="60" t="n"/>
      <c r="C217" s="61" t="n"/>
      <c r="D217" s="60" t="n"/>
      <c r="E217" s="60" t="n"/>
      <c r="F217" s="62" t="n"/>
      <c r="G217" s="62" t="n"/>
      <c r="H217" s="60" t="n"/>
      <c r="I217" s="60" t="n"/>
      <c r="J217" s="61" t="n"/>
      <c r="K217" s="61" t="n"/>
      <c r="L217" s="61" t="n"/>
      <c r="M217" s="60" t="n"/>
      <c r="N217" s="60" t="n"/>
      <c r="O217" s="60" t="n"/>
      <c r="P217" s="61" t="n"/>
      <c r="Q217" s="60" t="n"/>
      <c r="R217" s="60" t="n"/>
      <c r="S217" s="60" t="n"/>
      <c r="T217" s="61" t="n"/>
      <c r="U217" s="61" t="n"/>
      <c r="V217" s="60" t="n"/>
      <c r="W217" s="60" t="n"/>
      <c r="X217" s="60" t="n"/>
      <c r="Y217" s="60" t="n"/>
      <c r="Z217" s="61" t="n"/>
      <c r="AA217" s="60" t="n"/>
      <c r="AB217" s="60" t="n"/>
      <c r="AC217" s="60" t="n"/>
      <c r="AD217" s="60" t="n"/>
      <c r="AE217" s="63">
        <f>IF($G217="","",TODAY()-$G217)</f>
        <v/>
      </c>
      <c r="AF217" s="63">
        <f>IF($A217="","",IF($M217&gt;0,"Yes","No"))</f>
        <v/>
      </c>
      <c r="AG217" s="63">
        <f>IF($A217="","",IF(AND($E217="Yes",OR($AA217="No",$AA217="NOT FOUND")),"YES",""))</f>
        <v/>
      </c>
      <c r="AH217" s="66">
        <f>IF($A217="","",TRIM(IF(AND($Y217=0,$I217&lt;&gt;"Yes"),"T0-NoPhishResistant ","")&amp;IF($H217="No","NoMFA ","")&amp;IF(AND($Y217=0,$M217&gt;0),"T0-Standing ","")&amp;IF(AND($Y217=0,$S217="Group only"),"T0-ViaGroupOnly ","")&amp;IF($R217="Yes","BroadAzureScope ","")&amp;IF(AND($E217="Yes",$G217=""),"NeverSignedIn ","")))</f>
        <v/>
      </c>
      <c r="AI217" s="60" t="n"/>
      <c r="AJ217" s="61" t="n"/>
      <c r="AK217" s="60" t="n"/>
      <c r="AL217" s="62" t="n"/>
      <c r="AM217" s="62" t="n"/>
      <c r="AN217" s="62" t="n"/>
      <c r="AO217" s="60" t="n"/>
      <c r="AP217" s="61" t="n"/>
      <c r="AQ217" s="63">
        <f>IF($A217="","",IF(AM217="","Not Enrolled",IF(TODAY()&gt;AM217,"Review Overdue",IF(AM217-TODAY()&lt;=30,"Review Due Soon","Active"))))</f>
        <v/>
      </c>
      <c r="AR217" s="63">
        <f>IF($A217="","",IF(AN217="","NOT REVIEWED",IF(TODAY()-AN217&gt;90,"OVERDUE",IF(TODAY()-AN217&gt;76,"Due Soon","Current"))))</f>
        <v/>
      </c>
    </row>
    <row r="218" ht="15" customHeight="1" s="39">
      <c r="A218" s="61" t="n"/>
      <c r="B218" s="60" t="n"/>
      <c r="C218" s="61" t="n"/>
      <c r="D218" s="60" t="n"/>
      <c r="E218" s="60" t="n"/>
      <c r="F218" s="62" t="n"/>
      <c r="G218" s="62" t="n"/>
      <c r="H218" s="60" t="n"/>
      <c r="I218" s="60" t="n"/>
      <c r="J218" s="61" t="n"/>
      <c r="K218" s="61" t="n"/>
      <c r="L218" s="61" t="n"/>
      <c r="M218" s="60" t="n"/>
      <c r="N218" s="60" t="n"/>
      <c r="O218" s="60" t="n"/>
      <c r="P218" s="61" t="n"/>
      <c r="Q218" s="60" t="n"/>
      <c r="R218" s="60" t="n"/>
      <c r="S218" s="60" t="n"/>
      <c r="T218" s="61" t="n"/>
      <c r="U218" s="61" t="n"/>
      <c r="V218" s="60" t="n"/>
      <c r="W218" s="60" t="n"/>
      <c r="X218" s="60" t="n"/>
      <c r="Y218" s="60" t="n"/>
      <c r="Z218" s="61" t="n"/>
      <c r="AA218" s="60" t="n"/>
      <c r="AB218" s="60" t="n"/>
      <c r="AC218" s="60" t="n"/>
      <c r="AD218" s="60" t="n"/>
      <c r="AE218" s="63">
        <f>IF($G218="","",TODAY()-$G218)</f>
        <v/>
      </c>
      <c r="AF218" s="63">
        <f>IF($A218="","",IF($M218&gt;0,"Yes","No"))</f>
        <v/>
      </c>
      <c r="AG218" s="63">
        <f>IF($A218="","",IF(AND($E218="Yes",OR($AA218="No",$AA218="NOT FOUND")),"YES",""))</f>
        <v/>
      </c>
      <c r="AH218" s="66">
        <f>IF($A218="","",TRIM(IF(AND($Y218=0,$I218&lt;&gt;"Yes"),"T0-NoPhishResistant ","")&amp;IF($H218="No","NoMFA ","")&amp;IF(AND($Y218=0,$M218&gt;0),"T0-Standing ","")&amp;IF(AND($Y218=0,$S218="Group only"),"T0-ViaGroupOnly ","")&amp;IF($R218="Yes","BroadAzureScope ","")&amp;IF(AND($E218="Yes",$G218=""),"NeverSignedIn ","")))</f>
        <v/>
      </c>
      <c r="AI218" s="60" t="n"/>
      <c r="AJ218" s="61" t="n"/>
      <c r="AK218" s="60" t="n"/>
      <c r="AL218" s="62" t="n"/>
      <c r="AM218" s="62" t="n"/>
      <c r="AN218" s="62" t="n"/>
      <c r="AO218" s="60" t="n"/>
      <c r="AP218" s="61" t="n"/>
      <c r="AQ218" s="63">
        <f>IF($A218="","",IF(AM218="","Not Enrolled",IF(TODAY()&gt;AM218,"Review Overdue",IF(AM218-TODAY()&lt;=30,"Review Due Soon","Active"))))</f>
        <v/>
      </c>
      <c r="AR218" s="63">
        <f>IF($A218="","",IF(AN218="","NOT REVIEWED",IF(TODAY()-AN218&gt;90,"OVERDUE",IF(TODAY()-AN218&gt;76,"Due Soon","Current"))))</f>
        <v/>
      </c>
    </row>
    <row r="219" ht="15" customHeight="1" s="39">
      <c r="A219" s="61" t="n"/>
      <c r="B219" s="60" t="n"/>
      <c r="C219" s="61" t="n"/>
      <c r="D219" s="60" t="n"/>
      <c r="E219" s="60" t="n"/>
      <c r="F219" s="62" t="n"/>
      <c r="G219" s="62" t="n"/>
      <c r="H219" s="60" t="n"/>
      <c r="I219" s="60" t="n"/>
      <c r="J219" s="61" t="n"/>
      <c r="K219" s="61" t="n"/>
      <c r="L219" s="61" t="n"/>
      <c r="M219" s="60" t="n"/>
      <c r="N219" s="60" t="n"/>
      <c r="O219" s="60" t="n"/>
      <c r="P219" s="61" t="n"/>
      <c r="Q219" s="60" t="n"/>
      <c r="R219" s="60" t="n"/>
      <c r="S219" s="60" t="n"/>
      <c r="T219" s="61" t="n"/>
      <c r="U219" s="61" t="n"/>
      <c r="V219" s="60" t="n"/>
      <c r="W219" s="60" t="n"/>
      <c r="X219" s="60" t="n"/>
      <c r="Y219" s="60" t="n"/>
      <c r="Z219" s="61" t="n"/>
      <c r="AA219" s="60" t="n"/>
      <c r="AB219" s="60" t="n"/>
      <c r="AC219" s="60" t="n"/>
      <c r="AD219" s="60" t="n"/>
      <c r="AE219" s="63">
        <f>IF($G219="","",TODAY()-$G219)</f>
        <v/>
      </c>
      <c r="AF219" s="63">
        <f>IF($A219="","",IF($M219&gt;0,"Yes","No"))</f>
        <v/>
      </c>
      <c r="AG219" s="63">
        <f>IF($A219="","",IF(AND($E219="Yes",OR($AA219="No",$AA219="NOT FOUND")),"YES",""))</f>
        <v/>
      </c>
      <c r="AH219" s="66">
        <f>IF($A219="","",TRIM(IF(AND($Y219=0,$I219&lt;&gt;"Yes"),"T0-NoPhishResistant ","")&amp;IF($H219="No","NoMFA ","")&amp;IF(AND($Y219=0,$M219&gt;0),"T0-Standing ","")&amp;IF(AND($Y219=0,$S219="Group only"),"T0-ViaGroupOnly ","")&amp;IF($R219="Yes","BroadAzureScope ","")&amp;IF(AND($E219="Yes",$G219=""),"NeverSignedIn ","")))</f>
        <v/>
      </c>
      <c r="AI219" s="60" t="n"/>
      <c r="AJ219" s="61" t="n"/>
      <c r="AK219" s="60" t="n"/>
      <c r="AL219" s="62" t="n"/>
      <c r="AM219" s="62" t="n"/>
      <c r="AN219" s="62" t="n"/>
      <c r="AO219" s="60" t="n"/>
      <c r="AP219" s="61" t="n"/>
      <c r="AQ219" s="63">
        <f>IF($A219="","",IF(AM219="","Not Enrolled",IF(TODAY()&gt;AM219,"Review Overdue",IF(AM219-TODAY()&lt;=30,"Review Due Soon","Active"))))</f>
        <v/>
      </c>
      <c r="AR219" s="63">
        <f>IF($A219="","",IF(AN219="","NOT REVIEWED",IF(TODAY()-AN219&gt;90,"OVERDUE",IF(TODAY()-AN219&gt;76,"Due Soon","Current"))))</f>
        <v/>
      </c>
    </row>
    <row r="220" ht="15" customHeight="1" s="39">
      <c r="A220" s="61" t="n"/>
      <c r="B220" s="60" t="n"/>
      <c r="C220" s="61" t="n"/>
      <c r="D220" s="60" t="n"/>
      <c r="E220" s="60" t="n"/>
      <c r="F220" s="62" t="n"/>
      <c r="G220" s="62" t="n"/>
      <c r="H220" s="60" t="n"/>
      <c r="I220" s="60" t="n"/>
      <c r="J220" s="61" t="n"/>
      <c r="K220" s="61" t="n"/>
      <c r="L220" s="61" t="n"/>
      <c r="M220" s="60" t="n"/>
      <c r="N220" s="60" t="n"/>
      <c r="O220" s="60" t="n"/>
      <c r="P220" s="61" t="n"/>
      <c r="Q220" s="60" t="n"/>
      <c r="R220" s="60" t="n"/>
      <c r="S220" s="60" t="n"/>
      <c r="T220" s="61" t="n"/>
      <c r="U220" s="61" t="n"/>
      <c r="V220" s="60" t="n"/>
      <c r="W220" s="60" t="n"/>
      <c r="X220" s="60" t="n"/>
      <c r="Y220" s="60" t="n"/>
      <c r="Z220" s="61" t="n"/>
      <c r="AA220" s="60" t="n"/>
      <c r="AB220" s="60" t="n"/>
      <c r="AC220" s="60" t="n"/>
      <c r="AD220" s="60" t="n"/>
      <c r="AE220" s="63">
        <f>IF($G220="","",TODAY()-$G220)</f>
        <v/>
      </c>
      <c r="AF220" s="63">
        <f>IF($A220="","",IF($M220&gt;0,"Yes","No"))</f>
        <v/>
      </c>
      <c r="AG220" s="63">
        <f>IF($A220="","",IF(AND($E220="Yes",OR($AA220="No",$AA220="NOT FOUND")),"YES",""))</f>
        <v/>
      </c>
      <c r="AH220" s="66">
        <f>IF($A220="","",TRIM(IF(AND($Y220=0,$I220&lt;&gt;"Yes"),"T0-NoPhishResistant ","")&amp;IF($H220="No","NoMFA ","")&amp;IF(AND($Y220=0,$M220&gt;0),"T0-Standing ","")&amp;IF(AND($Y220=0,$S220="Group only"),"T0-ViaGroupOnly ","")&amp;IF($R220="Yes","BroadAzureScope ","")&amp;IF(AND($E220="Yes",$G220=""),"NeverSignedIn ","")))</f>
        <v/>
      </c>
      <c r="AI220" s="60" t="n"/>
      <c r="AJ220" s="61" t="n"/>
      <c r="AK220" s="60" t="n"/>
      <c r="AL220" s="62" t="n"/>
      <c r="AM220" s="62" t="n"/>
      <c r="AN220" s="62" t="n"/>
      <c r="AO220" s="60" t="n"/>
      <c r="AP220" s="61" t="n"/>
      <c r="AQ220" s="63">
        <f>IF($A220="","",IF(AM220="","Not Enrolled",IF(TODAY()&gt;AM220,"Review Overdue",IF(AM220-TODAY()&lt;=30,"Review Due Soon","Active"))))</f>
        <v/>
      </c>
      <c r="AR220" s="63">
        <f>IF($A220="","",IF(AN220="","NOT REVIEWED",IF(TODAY()-AN220&gt;90,"OVERDUE",IF(TODAY()-AN220&gt;76,"Due Soon","Current"))))</f>
        <v/>
      </c>
    </row>
    <row r="221" ht="15" customHeight="1" s="39">
      <c r="A221" s="61" t="n"/>
      <c r="B221" s="60" t="n"/>
      <c r="C221" s="61" t="n"/>
      <c r="D221" s="60" t="n"/>
      <c r="E221" s="60" t="n"/>
      <c r="F221" s="62" t="n"/>
      <c r="G221" s="62" t="n"/>
      <c r="H221" s="60" t="n"/>
      <c r="I221" s="60" t="n"/>
      <c r="J221" s="61" t="n"/>
      <c r="K221" s="61" t="n"/>
      <c r="L221" s="61" t="n"/>
      <c r="M221" s="60" t="n"/>
      <c r="N221" s="60" t="n"/>
      <c r="O221" s="60" t="n"/>
      <c r="P221" s="61" t="n"/>
      <c r="Q221" s="60" t="n"/>
      <c r="R221" s="60" t="n"/>
      <c r="S221" s="60" t="n"/>
      <c r="T221" s="61" t="n"/>
      <c r="U221" s="61" t="n"/>
      <c r="V221" s="60" t="n"/>
      <c r="W221" s="60" t="n"/>
      <c r="X221" s="60" t="n"/>
      <c r="Y221" s="60" t="n"/>
      <c r="Z221" s="61" t="n"/>
      <c r="AA221" s="60" t="n"/>
      <c r="AB221" s="60" t="n"/>
      <c r="AC221" s="60" t="n"/>
      <c r="AD221" s="60" t="n"/>
      <c r="AE221" s="63">
        <f>IF($G221="","",TODAY()-$G221)</f>
        <v/>
      </c>
      <c r="AF221" s="63">
        <f>IF($A221="","",IF($M221&gt;0,"Yes","No"))</f>
        <v/>
      </c>
      <c r="AG221" s="63">
        <f>IF($A221="","",IF(AND($E221="Yes",OR($AA221="No",$AA221="NOT FOUND")),"YES",""))</f>
        <v/>
      </c>
      <c r="AH221" s="66">
        <f>IF($A221="","",TRIM(IF(AND($Y221=0,$I221&lt;&gt;"Yes"),"T0-NoPhishResistant ","")&amp;IF($H221="No","NoMFA ","")&amp;IF(AND($Y221=0,$M221&gt;0),"T0-Standing ","")&amp;IF(AND($Y221=0,$S221="Group only"),"T0-ViaGroupOnly ","")&amp;IF($R221="Yes","BroadAzureScope ","")&amp;IF(AND($E221="Yes",$G221=""),"NeverSignedIn ","")))</f>
        <v/>
      </c>
      <c r="AI221" s="60" t="n"/>
      <c r="AJ221" s="61" t="n"/>
      <c r="AK221" s="60" t="n"/>
      <c r="AL221" s="62" t="n"/>
      <c r="AM221" s="62" t="n"/>
      <c r="AN221" s="62" t="n"/>
      <c r="AO221" s="60" t="n"/>
      <c r="AP221" s="61" t="n"/>
      <c r="AQ221" s="63">
        <f>IF($A221="","",IF(AM221="","Not Enrolled",IF(TODAY()&gt;AM221,"Review Overdue",IF(AM221-TODAY()&lt;=30,"Review Due Soon","Active"))))</f>
        <v/>
      </c>
      <c r="AR221" s="63">
        <f>IF($A221="","",IF(AN221="","NOT REVIEWED",IF(TODAY()-AN221&gt;90,"OVERDUE",IF(TODAY()-AN221&gt;76,"Due Soon","Current"))))</f>
        <v/>
      </c>
    </row>
    <row r="222" ht="15" customHeight="1" s="39">
      <c r="A222" s="61" t="n"/>
      <c r="B222" s="60" t="n"/>
      <c r="C222" s="61" t="n"/>
      <c r="D222" s="60" t="n"/>
      <c r="E222" s="60" t="n"/>
      <c r="F222" s="62" t="n"/>
      <c r="G222" s="62" t="n"/>
      <c r="H222" s="60" t="n"/>
      <c r="I222" s="60" t="n"/>
      <c r="J222" s="61" t="n"/>
      <c r="K222" s="61" t="n"/>
      <c r="L222" s="61" t="n"/>
      <c r="M222" s="60" t="n"/>
      <c r="N222" s="60" t="n"/>
      <c r="O222" s="60" t="n"/>
      <c r="P222" s="61" t="n"/>
      <c r="Q222" s="60" t="n"/>
      <c r="R222" s="60" t="n"/>
      <c r="S222" s="60" t="n"/>
      <c r="T222" s="61" t="n"/>
      <c r="U222" s="61" t="n"/>
      <c r="V222" s="60" t="n"/>
      <c r="W222" s="60" t="n"/>
      <c r="X222" s="60" t="n"/>
      <c r="Y222" s="60" t="n"/>
      <c r="Z222" s="61" t="n"/>
      <c r="AA222" s="60" t="n"/>
      <c r="AB222" s="60" t="n"/>
      <c r="AC222" s="60" t="n"/>
      <c r="AD222" s="60" t="n"/>
      <c r="AE222" s="63">
        <f>IF($G222="","",TODAY()-$G222)</f>
        <v/>
      </c>
      <c r="AF222" s="63">
        <f>IF($A222="","",IF($M222&gt;0,"Yes","No"))</f>
        <v/>
      </c>
      <c r="AG222" s="63">
        <f>IF($A222="","",IF(AND($E222="Yes",OR($AA222="No",$AA222="NOT FOUND")),"YES",""))</f>
        <v/>
      </c>
      <c r="AH222" s="66">
        <f>IF($A222="","",TRIM(IF(AND($Y222=0,$I222&lt;&gt;"Yes"),"T0-NoPhishResistant ","")&amp;IF($H222="No","NoMFA ","")&amp;IF(AND($Y222=0,$M222&gt;0),"T0-Standing ","")&amp;IF(AND($Y222=0,$S222="Group only"),"T0-ViaGroupOnly ","")&amp;IF($R222="Yes","BroadAzureScope ","")&amp;IF(AND($E222="Yes",$G222=""),"NeverSignedIn ","")))</f>
        <v/>
      </c>
      <c r="AI222" s="60" t="n"/>
      <c r="AJ222" s="61" t="n"/>
      <c r="AK222" s="60" t="n"/>
      <c r="AL222" s="62" t="n"/>
      <c r="AM222" s="62" t="n"/>
      <c r="AN222" s="62" t="n"/>
      <c r="AO222" s="60" t="n"/>
      <c r="AP222" s="61" t="n"/>
      <c r="AQ222" s="63">
        <f>IF($A222="","",IF(AM222="","Not Enrolled",IF(TODAY()&gt;AM222,"Review Overdue",IF(AM222-TODAY()&lt;=30,"Review Due Soon","Active"))))</f>
        <v/>
      </c>
      <c r="AR222" s="63">
        <f>IF($A222="","",IF(AN222="","NOT REVIEWED",IF(TODAY()-AN222&gt;90,"OVERDUE",IF(TODAY()-AN222&gt;76,"Due Soon","Current"))))</f>
        <v/>
      </c>
    </row>
    <row r="223" ht="15" customHeight="1" s="39">
      <c r="A223" s="61" t="n"/>
      <c r="B223" s="60" t="n"/>
      <c r="C223" s="61" t="n"/>
      <c r="D223" s="60" t="n"/>
      <c r="E223" s="60" t="n"/>
      <c r="F223" s="62" t="n"/>
      <c r="G223" s="62" t="n"/>
      <c r="H223" s="60" t="n"/>
      <c r="I223" s="60" t="n"/>
      <c r="J223" s="61" t="n"/>
      <c r="K223" s="61" t="n"/>
      <c r="L223" s="61" t="n"/>
      <c r="M223" s="60" t="n"/>
      <c r="N223" s="60" t="n"/>
      <c r="O223" s="60" t="n"/>
      <c r="P223" s="61" t="n"/>
      <c r="Q223" s="60" t="n"/>
      <c r="R223" s="60" t="n"/>
      <c r="S223" s="60" t="n"/>
      <c r="T223" s="61" t="n"/>
      <c r="U223" s="61" t="n"/>
      <c r="V223" s="60" t="n"/>
      <c r="W223" s="60" t="n"/>
      <c r="X223" s="60" t="n"/>
      <c r="Y223" s="60" t="n"/>
      <c r="Z223" s="61" t="n"/>
      <c r="AA223" s="60" t="n"/>
      <c r="AB223" s="60" t="n"/>
      <c r="AC223" s="60" t="n"/>
      <c r="AD223" s="60" t="n"/>
      <c r="AE223" s="63">
        <f>IF($G223="","",TODAY()-$G223)</f>
        <v/>
      </c>
      <c r="AF223" s="63">
        <f>IF($A223="","",IF($M223&gt;0,"Yes","No"))</f>
        <v/>
      </c>
      <c r="AG223" s="63">
        <f>IF($A223="","",IF(AND($E223="Yes",OR($AA223="No",$AA223="NOT FOUND")),"YES",""))</f>
        <v/>
      </c>
      <c r="AH223" s="66">
        <f>IF($A223="","",TRIM(IF(AND($Y223=0,$I223&lt;&gt;"Yes"),"T0-NoPhishResistant ","")&amp;IF($H223="No","NoMFA ","")&amp;IF(AND($Y223=0,$M223&gt;0),"T0-Standing ","")&amp;IF(AND($Y223=0,$S223="Group only"),"T0-ViaGroupOnly ","")&amp;IF($R223="Yes","BroadAzureScope ","")&amp;IF(AND($E223="Yes",$G223=""),"NeverSignedIn ","")))</f>
        <v/>
      </c>
      <c r="AI223" s="60" t="n"/>
      <c r="AJ223" s="61" t="n"/>
      <c r="AK223" s="60" t="n"/>
      <c r="AL223" s="62" t="n"/>
      <c r="AM223" s="62" t="n"/>
      <c r="AN223" s="62" t="n"/>
      <c r="AO223" s="60" t="n"/>
      <c r="AP223" s="61" t="n"/>
      <c r="AQ223" s="63">
        <f>IF($A223="","",IF(AM223="","Not Enrolled",IF(TODAY()&gt;AM223,"Review Overdue",IF(AM223-TODAY()&lt;=30,"Review Due Soon","Active"))))</f>
        <v/>
      </c>
      <c r="AR223" s="63">
        <f>IF($A223="","",IF(AN223="","NOT REVIEWED",IF(TODAY()-AN223&gt;90,"OVERDUE",IF(TODAY()-AN223&gt;76,"Due Soon","Current"))))</f>
        <v/>
      </c>
    </row>
    <row r="224" ht="15" customHeight="1" s="39">
      <c r="A224" s="61" t="n"/>
      <c r="B224" s="60" t="n"/>
      <c r="C224" s="61" t="n"/>
      <c r="D224" s="60" t="n"/>
      <c r="E224" s="60" t="n"/>
      <c r="F224" s="62" t="n"/>
      <c r="G224" s="62" t="n"/>
      <c r="H224" s="60" t="n"/>
      <c r="I224" s="60" t="n"/>
      <c r="J224" s="61" t="n"/>
      <c r="K224" s="61" t="n"/>
      <c r="L224" s="61" t="n"/>
      <c r="M224" s="60" t="n"/>
      <c r="N224" s="60" t="n"/>
      <c r="O224" s="60" t="n"/>
      <c r="P224" s="61" t="n"/>
      <c r="Q224" s="60" t="n"/>
      <c r="R224" s="60" t="n"/>
      <c r="S224" s="60" t="n"/>
      <c r="T224" s="61" t="n"/>
      <c r="U224" s="61" t="n"/>
      <c r="V224" s="60" t="n"/>
      <c r="W224" s="60" t="n"/>
      <c r="X224" s="60" t="n"/>
      <c r="Y224" s="60" t="n"/>
      <c r="Z224" s="61" t="n"/>
      <c r="AA224" s="60" t="n"/>
      <c r="AB224" s="60" t="n"/>
      <c r="AC224" s="60" t="n"/>
      <c r="AD224" s="60" t="n"/>
      <c r="AE224" s="63">
        <f>IF($G224="","",TODAY()-$G224)</f>
        <v/>
      </c>
      <c r="AF224" s="63">
        <f>IF($A224="","",IF($M224&gt;0,"Yes","No"))</f>
        <v/>
      </c>
      <c r="AG224" s="63">
        <f>IF($A224="","",IF(AND($E224="Yes",OR($AA224="No",$AA224="NOT FOUND")),"YES",""))</f>
        <v/>
      </c>
      <c r="AH224" s="66">
        <f>IF($A224="","",TRIM(IF(AND($Y224=0,$I224&lt;&gt;"Yes"),"T0-NoPhishResistant ","")&amp;IF($H224="No","NoMFA ","")&amp;IF(AND($Y224=0,$M224&gt;0),"T0-Standing ","")&amp;IF(AND($Y224=0,$S224="Group only"),"T0-ViaGroupOnly ","")&amp;IF($R224="Yes","BroadAzureScope ","")&amp;IF(AND($E224="Yes",$G224=""),"NeverSignedIn ","")))</f>
        <v/>
      </c>
      <c r="AI224" s="60" t="n"/>
      <c r="AJ224" s="61" t="n"/>
      <c r="AK224" s="60" t="n"/>
      <c r="AL224" s="62" t="n"/>
      <c r="AM224" s="62" t="n"/>
      <c r="AN224" s="62" t="n"/>
      <c r="AO224" s="60" t="n"/>
      <c r="AP224" s="61" t="n"/>
      <c r="AQ224" s="63">
        <f>IF($A224="","",IF(AM224="","Not Enrolled",IF(TODAY()&gt;AM224,"Review Overdue",IF(AM224-TODAY()&lt;=30,"Review Due Soon","Active"))))</f>
        <v/>
      </c>
      <c r="AR224" s="63">
        <f>IF($A224="","",IF(AN224="","NOT REVIEWED",IF(TODAY()-AN224&gt;90,"OVERDUE",IF(TODAY()-AN224&gt;76,"Due Soon","Current"))))</f>
        <v/>
      </c>
    </row>
    <row r="225" ht="15" customHeight="1" s="39">
      <c r="A225" s="61" t="n"/>
      <c r="B225" s="60" t="n"/>
      <c r="C225" s="61" t="n"/>
      <c r="D225" s="60" t="n"/>
      <c r="E225" s="60" t="n"/>
      <c r="F225" s="62" t="n"/>
      <c r="G225" s="62" t="n"/>
      <c r="H225" s="60" t="n"/>
      <c r="I225" s="60" t="n"/>
      <c r="J225" s="61" t="n"/>
      <c r="K225" s="61" t="n"/>
      <c r="L225" s="61" t="n"/>
      <c r="M225" s="60" t="n"/>
      <c r="N225" s="60" t="n"/>
      <c r="O225" s="60" t="n"/>
      <c r="P225" s="61" t="n"/>
      <c r="Q225" s="60" t="n"/>
      <c r="R225" s="60" t="n"/>
      <c r="S225" s="60" t="n"/>
      <c r="T225" s="61" t="n"/>
      <c r="U225" s="61" t="n"/>
      <c r="V225" s="60" t="n"/>
      <c r="W225" s="60" t="n"/>
      <c r="X225" s="60" t="n"/>
      <c r="Y225" s="60" t="n"/>
      <c r="Z225" s="61" t="n"/>
      <c r="AA225" s="60" t="n"/>
      <c r="AB225" s="60" t="n"/>
      <c r="AC225" s="60" t="n"/>
      <c r="AD225" s="60" t="n"/>
      <c r="AE225" s="63">
        <f>IF($G225="","",TODAY()-$G225)</f>
        <v/>
      </c>
      <c r="AF225" s="63">
        <f>IF($A225="","",IF($M225&gt;0,"Yes","No"))</f>
        <v/>
      </c>
      <c r="AG225" s="63">
        <f>IF($A225="","",IF(AND($E225="Yes",OR($AA225="No",$AA225="NOT FOUND")),"YES",""))</f>
        <v/>
      </c>
      <c r="AH225" s="66">
        <f>IF($A225="","",TRIM(IF(AND($Y225=0,$I225&lt;&gt;"Yes"),"T0-NoPhishResistant ","")&amp;IF($H225="No","NoMFA ","")&amp;IF(AND($Y225=0,$M225&gt;0),"T0-Standing ","")&amp;IF(AND($Y225=0,$S225="Group only"),"T0-ViaGroupOnly ","")&amp;IF($R225="Yes","BroadAzureScope ","")&amp;IF(AND($E225="Yes",$G225=""),"NeverSignedIn ","")))</f>
        <v/>
      </c>
      <c r="AI225" s="60" t="n"/>
      <c r="AJ225" s="61" t="n"/>
      <c r="AK225" s="60" t="n"/>
      <c r="AL225" s="62" t="n"/>
      <c r="AM225" s="62" t="n"/>
      <c r="AN225" s="62" t="n"/>
      <c r="AO225" s="60" t="n"/>
      <c r="AP225" s="61" t="n"/>
      <c r="AQ225" s="63">
        <f>IF($A225="","",IF(AM225="","Not Enrolled",IF(TODAY()&gt;AM225,"Review Overdue",IF(AM225-TODAY()&lt;=30,"Review Due Soon","Active"))))</f>
        <v/>
      </c>
      <c r="AR225" s="63">
        <f>IF($A225="","",IF(AN225="","NOT REVIEWED",IF(TODAY()-AN225&gt;90,"OVERDUE",IF(TODAY()-AN225&gt;76,"Due Soon","Current"))))</f>
        <v/>
      </c>
    </row>
    <row r="226" ht="15" customHeight="1" s="39">
      <c r="A226" s="61" t="n"/>
      <c r="B226" s="60" t="n"/>
      <c r="C226" s="61" t="n"/>
      <c r="D226" s="60" t="n"/>
      <c r="E226" s="60" t="n"/>
      <c r="F226" s="62" t="n"/>
      <c r="G226" s="62" t="n"/>
      <c r="H226" s="60" t="n"/>
      <c r="I226" s="60" t="n"/>
      <c r="J226" s="61" t="n"/>
      <c r="K226" s="61" t="n"/>
      <c r="L226" s="61" t="n"/>
      <c r="M226" s="60" t="n"/>
      <c r="N226" s="60" t="n"/>
      <c r="O226" s="60" t="n"/>
      <c r="P226" s="61" t="n"/>
      <c r="Q226" s="60" t="n"/>
      <c r="R226" s="60" t="n"/>
      <c r="S226" s="60" t="n"/>
      <c r="T226" s="61" t="n"/>
      <c r="U226" s="61" t="n"/>
      <c r="V226" s="60" t="n"/>
      <c r="W226" s="60" t="n"/>
      <c r="X226" s="60" t="n"/>
      <c r="Y226" s="60" t="n"/>
      <c r="Z226" s="61" t="n"/>
      <c r="AA226" s="60" t="n"/>
      <c r="AB226" s="60" t="n"/>
      <c r="AC226" s="60" t="n"/>
      <c r="AD226" s="60" t="n"/>
      <c r="AE226" s="63">
        <f>IF($G226="","",TODAY()-$G226)</f>
        <v/>
      </c>
      <c r="AF226" s="63">
        <f>IF($A226="","",IF($M226&gt;0,"Yes","No"))</f>
        <v/>
      </c>
      <c r="AG226" s="63">
        <f>IF($A226="","",IF(AND($E226="Yes",OR($AA226="No",$AA226="NOT FOUND")),"YES",""))</f>
        <v/>
      </c>
      <c r="AH226" s="66">
        <f>IF($A226="","",TRIM(IF(AND($Y226=0,$I226&lt;&gt;"Yes"),"T0-NoPhishResistant ","")&amp;IF($H226="No","NoMFA ","")&amp;IF(AND($Y226=0,$M226&gt;0),"T0-Standing ","")&amp;IF(AND($Y226=0,$S226="Group only"),"T0-ViaGroupOnly ","")&amp;IF($R226="Yes","BroadAzureScope ","")&amp;IF(AND($E226="Yes",$G226=""),"NeverSignedIn ","")))</f>
        <v/>
      </c>
      <c r="AI226" s="60" t="n"/>
      <c r="AJ226" s="61" t="n"/>
      <c r="AK226" s="60" t="n"/>
      <c r="AL226" s="62" t="n"/>
      <c r="AM226" s="62" t="n"/>
      <c r="AN226" s="62" t="n"/>
      <c r="AO226" s="60" t="n"/>
      <c r="AP226" s="61" t="n"/>
      <c r="AQ226" s="63">
        <f>IF($A226="","",IF(AM226="","Not Enrolled",IF(TODAY()&gt;AM226,"Review Overdue",IF(AM226-TODAY()&lt;=30,"Review Due Soon","Active"))))</f>
        <v/>
      </c>
      <c r="AR226" s="63">
        <f>IF($A226="","",IF(AN226="","NOT REVIEWED",IF(TODAY()-AN226&gt;90,"OVERDUE",IF(TODAY()-AN226&gt;76,"Due Soon","Current"))))</f>
        <v/>
      </c>
    </row>
    <row r="227" ht="15" customHeight="1" s="39">
      <c r="A227" s="61" t="n"/>
      <c r="B227" s="60" t="n"/>
      <c r="C227" s="61" t="n"/>
      <c r="D227" s="60" t="n"/>
      <c r="E227" s="60" t="n"/>
      <c r="F227" s="62" t="n"/>
      <c r="G227" s="62" t="n"/>
      <c r="H227" s="60" t="n"/>
      <c r="I227" s="60" t="n"/>
      <c r="J227" s="61" t="n"/>
      <c r="K227" s="61" t="n"/>
      <c r="L227" s="61" t="n"/>
      <c r="M227" s="60" t="n"/>
      <c r="N227" s="60" t="n"/>
      <c r="O227" s="60" t="n"/>
      <c r="P227" s="61" t="n"/>
      <c r="Q227" s="60" t="n"/>
      <c r="R227" s="60" t="n"/>
      <c r="S227" s="60" t="n"/>
      <c r="T227" s="61" t="n"/>
      <c r="U227" s="61" t="n"/>
      <c r="V227" s="60" t="n"/>
      <c r="W227" s="60" t="n"/>
      <c r="X227" s="60" t="n"/>
      <c r="Y227" s="60" t="n"/>
      <c r="Z227" s="61" t="n"/>
      <c r="AA227" s="60" t="n"/>
      <c r="AB227" s="60" t="n"/>
      <c r="AC227" s="60" t="n"/>
      <c r="AD227" s="60" t="n"/>
      <c r="AE227" s="63">
        <f>IF($G227="","",TODAY()-$G227)</f>
        <v/>
      </c>
      <c r="AF227" s="63">
        <f>IF($A227="","",IF($M227&gt;0,"Yes","No"))</f>
        <v/>
      </c>
      <c r="AG227" s="63">
        <f>IF($A227="","",IF(AND($E227="Yes",OR($AA227="No",$AA227="NOT FOUND")),"YES",""))</f>
        <v/>
      </c>
      <c r="AH227" s="66">
        <f>IF($A227="","",TRIM(IF(AND($Y227=0,$I227&lt;&gt;"Yes"),"T0-NoPhishResistant ","")&amp;IF($H227="No","NoMFA ","")&amp;IF(AND($Y227=0,$M227&gt;0),"T0-Standing ","")&amp;IF(AND($Y227=0,$S227="Group only"),"T0-ViaGroupOnly ","")&amp;IF($R227="Yes","BroadAzureScope ","")&amp;IF(AND($E227="Yes",$G227=""),"NeverSignedIn ","")))</f>
        <v/>
      </c>
      <c r="AI227" s="60" t="n"/>
      <c r="AJ227" s="61" t="n"/>
      <c r="AK227" s="60" t="n"/>
      <c r="AL227" s="62" t="n"/>
      <c r="AM227" s="62" t="n"/>
      <c r="AN227" s="62" t="n"/>
      <c r="AO227" s="60" t="n"/>
      <c r="AP227" s="61" t="n"/>
      <c r="AQ227" s="63">
        <f>IF($A227="","",IF(AM227="","Not Enrolled",IF(TODAY()&gt;AM227,"Review Overdue",IF(AM227-TODAY()&lt;=30,"Review Due Soon","Active"))))</f>
        <v/>
      </c>
      <c r="AR227" s="63">
        <f>IF($A227="","",IF(AN227="","NOT REVIEWED",IF(TODAY()-AN227&gt;90,"OVERDUE",IF(TODAY()-AN227&gt;76,"Due Soon","Current"))))</f>
        <v/>
      </c>
    </row>
    <row r="228" ht="15" customHeight="1" s="39">
      <c r="A228" s="61" t="n"/>
      <c r="B228" s="60" t="n"/>
      <c r="C228" s="61" t="n"/>
      <c r="D228" s="60" t="n"/>
      <c r="E228" s="60" t="n"/>
      <c r="F228" s="62" t="n"/>
      <c r="G228" s="62" t="n"/>
      <c r="H228" s="60" t="n"/>
      <c r="I228" s="60" t="n"/>
      <c r="J228" s="61" t="n"/>
      <c r="K228" s="61" t="n"/>
      <c r="L228" s="61" t="n"/>
      <c r="M228" s="60" t="n"/>
      <c r="N228" s="60" t="n"/>
      <c r="O228" s="60" t="n"/>
      <c r="P228" s="61" t="n"/>
      <c r="Q228" s="60" t="n"/>
      <c r="R228" s="60" t="n"/>
      <c r="S228" s="60" t="n"/>
      <c r="T228" s="61" t="n"/>
      <c r="U228" s="61" t="n"/>
      <c r="V228" s="60" t="n"/>
      <c r="W228" s="60" t="n"/>
      <c r="X228" s="60" t="n"/>
      <c r="Y228" s="60" t="n"/>
      <c r="Z228" s="61" t="n"/>
      <c r="AA228" s="60" t="n"/>
      <c r="AB228" s="60" t="n"/>
      <c r="AC228" s="60" t="n"/>
      <c r="AD228" s="60" t="n"/>
      <c r="AE228" s="63">
        <f>IF($G228="","",TODAY()-$G228)</f>
        <v/>
      </c>
      <c r="AF228" s="63">
        <f>IF($A228="","",IF($M228&gt;0,"Yes","No"))</f>
        <v/>
      </c>
      <c r="AG228" s="63">
        <f>IF($A228="","",IF(AND($E228="Yes",OR($AA228="No",$AA228="NOT FOUND")),"YES",""))</f>
        <v/>
      </c>
      <c r="AH228" s="66">
        <f>IF($A228="","",TRIM(IF(AND($Y228=0,$I228&lt;&gt;"Yes"),"T0-NoPhishResistant ","")&amp;IF($H228="No","NoMFA ","")&amp;IF(AND($Y228=0,$M228&gt;0),"T0-Standing ","")&amp;IF(AND($Y228=0,$S228="Group only"),"T0-ViaGroupOnly ","")&amp;IF($R228="Yes","BroadAzureScope ","")&amp;IF(AND($E228="Yes",$G228=""),"NeverSignedIn ","")))</f>
        <v/>
      </c>
      <c r="AI228" s="60" t="n"/>
      <c r="AJ228" s="61" t="n"/>
      <c r="AK228" s="60" t="n"/>
      <c r="AL228" s="62" t="n"/>
      <c r="AM228" s="62" t="n"/>
      <c r="AN228" s="62" t="n"/>
      <c r="AO228" s="60" t="n"/>
      <c r="AP228" s="61" t="n"/>
      <c r="AQ228" s="63">
        <f>IF($A228="","",IF(AM228="","Not Enrolled",IF(TODAY()&gt;AM228,"Review Overdue",IF(AM228-TODAY()&lt;=30,"Review Due Soon","Active"))))</f>
        <v/>
      </c>
      <c r="AR228" s="63">
        <f>IF($A228="","",IF(AN228="","NOT REVIEWED",IF(TODAY()-AN228&gt;90,"OVERDUE",IF(TODAY()-AN228&gt;76,"Due Soon","Current"))))</f>
        <v/>
      </c>
    </row>
    <row r="229" ht="15" customHeight="1" s="39">
      <c r="A229" s="61" t="n"/>
      <c r="B229" s="60" t="n"/>
      <c r="C229" s="61" t="n"/>
      <c r="D229" s="60" t="n"/>
      <c r="E229" s="60" t="n"/>
      <c r="F229" s="62" t="n"/>
      <c r="G229" s="62" t="n"/>
      <c r="H229" s="60" t="n"/>
      <c r="I229" s="60" t="n"/>
      <c r="J229" s="61" t="n"/>
      <c r="K229" s="61" t="n"/>
      <c r="L229" s="61" t="n"/>
      <c r="M229" s="60" t="n"/>
      <c r="N229" s="60" t="n"/>
      <c r="O229" s="60" t="n"/>
      <c r="P229" s="61" t="n"/>
      <c r="Q229" s="60" t="n"/>
      <c r="R229" s="60" t="n"/>
      <c r="S229" s="60" t="n"/>
      <c r="T229" s="61" t="n"/>
      <c r="U229" s="61" t="n"/>
      <c r="V229" s="60" t="n"/>
      <c r="W229" s="60" t="n"/>
      <c r="X229" s="60" t="n"/>
      <c r="Y229" s="60" t="n"/>
      <c r="Z229" s="61" t="n"/>
      <c r="AA229" s="60" t="n"/>
      <c r="AB229" s="60" t="n"/>
      <c r="AC229" s="60" t="n"/>
      <c r="AD229" s="60" t="n"/>
      <c r="AE229" s="63">
        <f>IF($G229="","",TODAY()-$G229)</f>
        <v/>
      </c>
      <c r="AF229" s="63">
        <f>IF($A229="","",IF($M229&gt;0,"Yes","No"))</f>
        <v/>
      </c>
      <c r="AG229" s="63">
        <f>IF($A229="","",IF(AND($E229="Yes",OR($AA229="No",$AA229="NOT FOUND")),"YES",""))</f>
        <v/>
      </c>
      <c r="AH229" s="66">
        <f>IF($A229="","",TRIM(IF(AND($Y229=0,$I229&lt;&gt;"Yes"),"T0-NoPhishResistant ","")&amp;IF($H229="No","NoMFA ","")&amp;IF(AND($Y229=0,$M229&gt;0),"T0-Standing ","")&amp;IF(AND($Y229=0,$S229="Group only"),"T0-ViaGroupOnly ","")&amp;IF($R229="Yes","BroadAzureScope ","")&amp;IF(AND($E229="Yes",$G229=""),"NeverSignedIn ","")))</f>
        <v/>
      </c>
      <c r="AI229" s="60" t="n"/>
      <c r="AJ229" s="61" t="n"/>
      <c r="AK229" s="60" t="n"/>
      <c r="AL229" s="62" t="n"/>
      <c r="AM229" s="62" t="n"/>
      <c r="AN229" s="62" t="n"/>
      <c r="AO229" s="60" t="n"/>
      <c r="AP229" s="61" t="n"/>
      <c r="AQ229" s="63">
        <f>IF($A229="","",IF(AM229="","Not Enrolled",IF(TODAY()&gt;AM229,"Review Overdue",IF(AM229-TODAY()&lt;=30,"Review Due Soon","Active"))))</f>
        <v/>
      </c>
      <c r="AR229" s="63">
        <f>IF($A229="","",IF(AN229="","NOT REVIEWED",IF(TODAY()-AN229&gt;90,"OVERDUE",IF(TODAY()-AN229&gt;76,"Due Soon","Current"))))</f>
        <v/>
      </c>
    </row>
    <row r="230" ht="15" customHeight="1" s="39">
      <c r="A230" s="61" t="n"/>
      <c r="B230" s="60" t="n"/>
      <c r="C230" s="61" t="n"/>
      <c r="D230" s="60" t="n"/>
      <c r="E230" s="60" t="n"/>
      <c r="F230" s="62" t="n"/>
      <c r="G230" s="62" t="n"/>
      <c r="H230" s="60" t="n"/>
      <c r="I230" s="60" t="n"/>
      <c r="J230" s="61" t="n"/>
      <c r="K230" s="61" t="n"/>
      <c r="L230" s="61" t="n"/>
      <c r="M230" s="60" t="n"/>
      <c r="N230" s="60" t="n"/>
      <c r="O230" s="60" t="n"/>
      <c r="P230" s="61" t="n"/>
      <c r="Q230" s="60" t="n"/>
      <c r="R230" s="60" t="n"/>
      <c r="S230" s="60" t="n"/>
      <c r="T230" s="61" t="n"/>
      <c r="U230" s="61" t="n"/>
      <c r="V230" s="60" t="n"/>
      <c r="W230" s="60" t="n"/>
      <c r="X230" s="60" t="n"/>
      <c r="Y230" s="60" t="n"/>
      <c r="Z230" s="61" t="n"/>
      <c r="AA230" s="60" t="n"/>
      <c r="AB230" s="60" t="n"/>
      <c r="AC230" s="60" t="n"/>
      <c r="AD230" s="60" t="n"/>
      <c r="AE230" s="63">
        <f>IF($G230="","",TODAY()-$G230)</f>
        <v/>
      </c>
      <c r="AF230" s="63">
        <f>IF($A230="","",IF($M230&gt;0,"Yes","No"))</f>
        <v/>
      </c>
      <c r="AG230" s="63">
        <f>IF($A230="","",IF(AND($E230="Yes",OR($AA230="No",$AA230="NOT FOUND")),"YES",""))</f>
        <v/>
      </c>
      <c r="AH230" s="66">
        <f>IF($A230="","",TRIM(IF(AND($Y230=0,$I230&lt;&gt;"Yes"),"T0-NoPhishResistant ","")&amp;IF($H230="No","NoMFA ","")&amp;IF(AND($Y230=0,$M230&gt;0),"T0-Standing ","")&amp;IF(AND($Y230=0,$S230="Group only"),"T0-ViaGroupOnly ","")&amp;IF($R230="Yes","BroadAzureScope ","")&amp;IF(AND($E230="Yes",$G230=""),"NeverSignedIn ","")))</f>
        <v/>
      </c>
      <c r="AI230" s="60" t="n"/>
      <c r="AJ230" s="61" t="n"/>
      <c r="AK230" s="60" t="n"/>
      <c r="AL230" s="62" t="n"/>
      <c r="AM230" s="62" t="n"/>
      <c r="AN230" s="62" t="n"/>
      <c r="AO230" s="60" t="n"/>
      <c r="AP230" s="61" t="n"/>
      <c r="AQ230" s="63">
        <f>IF($A230="","",IF(AM230="","Not Enrolled",IF(TODAY()&gt;AM230,"Review Overdue",IF(AM230-TODAY()&lt;=30,"Review Due Soon","Active"))))</f>
        <v/>
      </c>
      <c r="AR230" s="63">
        <f>IF($A230="","",IF(AN230="","NOT REVIEWED",IF(TODAY()-AN230&gt;90,"OVERDUE",IF(TODAY()-AN230&gt;76,"Due Soon","Current"))))</f>
        <v/>
      </c>
    </row>
    <row r="231" ht="15" customHeight="1" s="39">
      <c r="A231" s="61" t="n"/>
      <c r="B231" s="60" t="n"/>
      <c r="C231" s="61" t="n"/>
      <c r="D231" s="60" t="n"/>
      <c r="E231" s="60" t="n"/>
      <c r="F231" s="62" t="n"/>
      <c r="G231" s="62" t="n"/>
      <c r="H231" s="60" t="n"/>
      <c r="I231" s="60" t="n"/>
      <c r="J231" s="61" t="n"/>
      <c r="K231" s="61" t="n"/>
      <c r="L231" s="61" t="n"/>
      <c r="M231" s="60" t="n"/>
      <c r="N231" s="60" t="n"/>
      <c r="O231" s="60" t="n"/>
      <c r="P231" s="61" t="n"/>
      <c r="Q231" s="60" t="n"/>
      <c r="R231" s="60" t="n"/>
      <c r="S231" s="60" t="n"/>
      <c r="T231" s="61" t="n"/>
      <c r="U231" s="61" t="n"/>
      <c r="V231" s="60" t="n"/>
      <c r="W231" s="60" t="n"/>
      <c r="X231" s="60" t="n"/>
      <c r="Y231" s="60" t="n"/>
      <c r="Z231" s="61" t="n"/>
      <c r="AA231" s="60" t="n"/>
      <c r="AB231" s="60" t="n"/>
      <c r="AC231" s="60" t="n"/>
      <c r="AD231" s="60" t="n"/>
      <c r="AE231" s="63">
        <f>IF($G231="","",TODAY()-$G231)</f>
        <v/>
      </c>
      <c r="AF231" s="63">
        <f>IF($A231="","",IF($M231&gt;0,"Yes","No"))</f>
        <v/>
      </c>
      <c r="AG231" s="63">
        <f>IF($A231="","",IF(AND($E231="Yes",OR($AA231="No",$AA231="NOT FOUND")),"YES",""))</f>
        <v/>
      </c>
      <c r="AH231" s="66">
        <f>IF($A231="","",TRIM(IF(AND($Y231=0,$I231&lt;&gt;"Yes"),"T0-NoPhishResistant ","")&amp;IF($H231="No","NoMFA ","")&amp;IF(AND($Y231=0,$M231&gt;0),"T0-Standing ","")&amp;IF(AND($Y231=0,$S231="Group only"),"T0-ViaGroupOnly ","")&amp;IF($R231="Yes","BroadAzureScope ","")&amp;IF(AND($E231="Yes",$G231=""),"NeverSignedIn ","")))</f>
        <v/>
      </c>
      <c r="AI231" s="60" t="n"/>
      <c r="AJ231" s="61" t="n"/>
      <c r="AK231" s="60" t="n"/>
      <c r="AL231" s="62" t="n"/>
      <c r="AM231" s="62" t="n"/>
      <c r="AN231" s="62" t="n"/>
      <c r="AO231" s="60" t="n"/>
      <c r="AP231" s="61" t="n"/>
      <c r="AQ231" s="63">
        <f>IF($A231="","",IF(AM231="","Not Enrolled",IF(TODAY()&gt;AM231,"Review Overdue",IF(AM231-TODAY()&lt;=30,"Review Due Soon","Active"))))</f>
        <v/>
      </c>
      <c r="AR231" s="63">
        <f>IF($A231="","",IF(AN231="","NOT REVIEWED",IF(TODAY()-AN231&gt;90,"OVERDUE",IF(TODAY()-AN231&gt;76,"Due Soon","Current"))))</f>
        <v/>
      </c>
    </row>
    <row r="232" ht="15" customHeight="1" s="39">
      <c r="A232" s="61" t="n"/>
      <c r="B232" s="60" t="n"/>
      <c r="C232" s="61" t="n"/>
      <c r="D232" s="60" t="n"/>
      <c r="E232" s="60" t="n"/>
      <c r="F232" s="62" t="n"/>
      <c r="G232" s="62" t="n"/>
      <c r="H232" s="60" t="n"/>
      <c r="I232" s="60" t="n"/>
      <c r="J232" s="61" t="n"/>
      <c r="K232" s="61" t="n"/>
      <c r="L232" s="61" t="n"/>
      <c r="M232" s="60" t="n"/>
      <c r="N232" s="60" t="n"/>
      <c r="O232" s="60" t="n"/>
      <c r="P232" s="61" t="n"/>
      <c r="Q232" s="60" t="n"/>
      <c r="R232" s="60" t="n"/>
      <c r="S232" s="60" t="n"/>
      <c r="T232" s="61" t="n"/>
      <c r="U232" s="61" t="n"/>
      <c r="V232" s="60" t="n"/>
      <c r="W232" s="60" t="n"/>
      <c r="X232" s="60" t="n"/>
      <c r="Y232" s="60" t="n"/>
      <c r="Z232" s="61" t="n"/>
      <c r="AA232" s="60" t="n"/>
      <c r="AB232" s="60" t="n"/>
      <c r="AC232" s="60" t="n"/>
      <c r="AD232" s="60" t="n"/>
      <c r="AE232" s="63">
        <f>IF($G232="","",TODAY()-$G232)</f>
        <v/>
      </c>
      <c r="AF232" s="63">
        <f>IF($A232="","",IF($M232&gt;0,"Yes","No"))</f>
        <v/>
      </c>
      <c r="AG232" s="63">
        <f>IF($A232="","",IF(AND($E232="Yes",OR($AA232="No",$AA232="NOT FOUND")),"YES",""))</f>
        <v/>
      </c>
      <c r="AH232" s="66">
        <f>IF($A232="","",TRIM(IF(AND($Y232=0,$I232&lt;&gt;"Yes"),"T0-NoPhishResistant ","")&amp;IF($H232="No","NoMFA ","")&amp;IF(AND($Y232=0,$M232&gt;0),"T0-Standing ","")&amp;IF(AND($Y232=0,$S232="Group only"),"T0-ViaGroupOnly ","")&amp;IF($R232="Yes","BroadAzureScope ","")&amp;IF(AND($E232="Yes",$G232=""),"NeverSignedIn ","")))</f>
        <v/>
      </c>
      <c r="AI232" s="60" t="n"/>
      <c r="AJ232" s="61" t="n"/>
      <c r="AK232" s="60" t="n"/>
      <c r="AL232" s="62" t="n"/>
      <c r="AM232" s="62" t="n"/>
      <c r="AN232" s="62" t="n"/>
      <c r="AO232" s="60" t="n"/>
      <c r="AP232" s="61" t="n"/>
      <c r="AQ232" s="63">
        <f>IF($A232="","",IF(AM232="","Not Enrolled",IF(TODAY()&gt;AM232,"Review Overdue",IF(AM232-TODAY()&lt;=30,"Review Due Soon","Active"))))</f>
        <v/>
      </c>
      <c r="AR232" s="63">
        <f>IF($A232="","",IF(AN232="","NOT REVIEWED",IF(TODAY()-AN232&gt;90,"OVERDUE",IF(TODAY()-AN232&gt;76,"Due Soon","Current"))))</f>
        <v/>
      </c>
    </row>
    <row r="233" ht="15" customHeight="1" s="39">
      <c r="A233" s="61" t="n"/>
      <c r="B233" s="60" t="n"/>
      <c r="C233" s="61" t="n"/>
      <c r="D233" s="60" t="n"/>
      <c r="E233" s="60" t="n"/>
      <c r="F233" s="62" t="n"/>
      <c r="G233" s="62" t="n"/>
      <c r="H233" s="60" t="n"/>
      <c r="I233" s="60" t="n"/>
      <c r="J233" s="61" t="n"/>
      <c r="K233" s="61" t="n"/>
      <c r="L233" s="61" t="n"/>
      <c r="M233" s="60" t="n"/>
      <c r="N233" s="60" t="n"/>
      <c r="O233" s="60" t="n"/>
      <c r="P233" s="61" t="n"/>
      <c r="Q233" s="60" t="n"/>
      <c r="R233" s="60" t="n"/>
      <c r="S233" s="60" t="n"/>
      <c r="T233" s="61" t="n"/>
      <c r="U233" s="61" t="n"/>
      <c r="V233" s="60" t="n"/>
      <c r="W233" s="60" t="n"/>
      <c r="X233" s="60" t="n"/>
      <c r="Y233" s="60" t="n"/>
      <c r="Z233" s="61" t="n"/>
      <c r="AA233" s="60" t="n"/>
      <c r="AB233" s="60" t="n"/>
      <c r="AC233" s="60" t="n"/>
      <c r="AD233" s="60" t="n"/>
      <c r="AE233" s="63">
        <f>IF($G233="","",TODAY()-$G233)</f>
        <v/>
      </c>
      <c r="AF233" s="63">
        <f>IF($A233="","",IF($M233&gt;0,"Yes","No"))</f>
        <v/>
      </c>
      <c r="AG233" s="63">
        <f>IF($A233="","",IF(AND($E233="Yes",OR($AA233="No",$AA233="NOT FOUND")),"YES",""))</f>
        <v/>
      </c>
      <c r="AH233" s="66">
        <f>IF($A233="","",TRIM(IF(AND($Y233=0,$I233&lt;&gt;"Yes"),"T0-NoPhishResistant ","")&amp;IF($H233="No","NoMFA ","")&amp;IF(AND($Y233=0,$M233&gt;0),"T0-Standing ","")&amp;IF(AND($Y233=0,$S233="Group only"),"T0-ViaGroupOnly ","")&amp;IF($R233="Yes","BroadAzureScope ","")&amp;IF(AND($E233="Yes",$G233=""),"NeverSignedIn ","")))</f>
        <v/>
      </c>
      <c r="AI233" s="60" t="n"/>
      <c r="AJ233" s="61" t="n"/>
      <c r="AK233" s="60" t="n"/>
      <c r="AL233" s="62" t="n"/>
      <c r="AM233" s="62" t="n"/>
      <c r="AN233" s="62" t="n"/>
      <c r="AO233" s="60" t="n"/>
      <c r="AP233" s="61" t="n"/>
      <c r="AQ233" s="63">
        <f>IF($A233="","",IF(AM233="","Not Enrolled",IF(TODAY()&gt;AM233,"Review Overdue",IF(AM233-TODAY()&lt;=30,"Review Due Soon","Active"))))</f>
        <v/>
      </c>
      <c r="AR233" s="63">
        <f>IF($A233="","",IF(AN233="","NOT REVIEWED",IF(TODAY()-AN233&gt;90,"OVERDUE",IF(TODAY()-AN233&gt;76,"Due Soon","Current"))))</f>
        <v/>
      </c>
    </row>
    <row r="234" ht="15" customHeight="1" s="39">
      <c r="A234" s="61" t="n"/>
      <c r="B234" s="60" t="n"/>
      <c r="C234" s="61" t="n"/>
      <c r="D234" s="60" t="n"/>
      <c r="E234" s="60" t="n"/>
      <c r="F234" s="62" t="n"/>
      <c r="G234" s="62" t="n"/>
      <c r="H234" s="60" t="n"/>
      <c r="I234" s="60" t="n"/>
      <c r="J234" s="61" t="n"/>
      <c r="K234" s="61" t="n"/>
      <c r="L234" s="61" t="n"/>
      <c r="M234" s="60" t="n"/>
      <c r="N234" s="60" t="n"/>
      <c r="O234" s="60" t="n"/>
      <c r="P234" s="61" t="n"/>
      <c r="Q234" s="60" t="n"/>
      <c r="R234" s="60" t="n"/>
      <c r="S234" s="60" t="n"/>
      <c r="T234" s="61" t="n"/>
      <c r="U234" s="61" t="n"/>
      <c r="V234" s="60" t="n"/>
      <c r="W234" s="60" t="n"/>
      <c r="X234" s="60" t="n"/>
      <c r="Y234" s="60" t="n"/>
      <c r="Z234" s="61" t="n"/>
      <c r="AA234" s="60" t="n"/>
      <c r="AB234" s="60" t="n"/>
      <c r="AC234" s="60" t="n"/>
      <c r="AD234" s="60" t="n"/>
      <c r="AE234" s="63">
        <f>IF($G234="","",TODAY()-$G234)</f>
        <v/>
      </c>
      <c r="AF234" s="63">
        <f>IF($A234="","",IF($M234&gt;0,"Yes","No"))</f>
        <v/>
      </c>
      <c r="AG234" s="63">
        <f>IF($A234="","",IF(AND($E234="Yes",OR($AA234="No",$AA234="NOT FOUND")),"YES",""))</f>
        <v/>
      </c>
      <c r="AH234" s="66">
        <f>IF($A234="","",TRIM(IF(AND($Y234=0,$I234&lt;&gt;"Yes"),"T0-NoPhishResistant ","")&amp;IF($H234="No","NoMFA ","")&amp;IF(AND($Y234=0,$M234&gt;0),"T0-Standing ","")&amp;IF(AND($Y234=0,$S234="Group only"),"T0-ViaGroupOnly ","")&amp;IF($R234="Yes","BroadAzureScope ","")&amp;IF(AND($E234="Yes",$G234=""),"NeverSignedIn ","")))</f>
        <v/>
      </c>
      <c r="AI234" s="60" t="n"/>
      <c r="AJ234" s="61" t="n"/>
      <c r="AK234" s="60" t="n"/>
      <c r="AL234" s="62" t="n"/>
      <c r="AM234" s="62" t="n"/>
      <c r="AN234" s="62" t="n"/>
      <c r="AO234" s="60" t="n"/>
      <c r="AP234" s="61" t="n"/>
      <c r="AQ234" s="63">
        <f>IF($A234="","",IF(AM234="","Not Enrolled",IF(TODAY()&gt;AM234,"Review Overdue",IF(AM234-TODAY()&lt;=30,"Review Due Soon","Active"))))</f>
        <v/>
      </c>
      <c r="AR234" s="63">
        <f>IF($A234="","",IF(AN234="","NOT REVIEWED",IF(TODAY()-AN234&gt;90,"OVERDUE",IF(TODAY()-AN234&gt;76,"Due Soon","Current"))))</f>
        <v/>
      </c>
    </row>
    <row r="235" ht="15" customHeight="1" s="39">
      <c r="A235" s="61" t="n"/>
      <c r="B235" s="60" t="n"/>
      <c r="C235" s="61" t="n"/>
      <c r="D235" s="60" t="n"/>
      <c r="E235" s="60" t="n"/>
      <c r="F235" s="62" t="n"/>
      <c r="G235" s="62" t="n"/>
      <c r="H235" s="60" t="n"/>
      <c r="I235" s="60" t="n"/>
      <c r="J235" s="61" t="n"/>
      <c r="K235" s="61" t="n"/>
      <c r="L235" s="61" t="n"/>
      <c r="M235" s="60" t="n"/>
      <c r="N235" s="60" t="n"/>
      <c r="O235" s="60" t="n"/>
      <c r="P235" s="61" t="n"/>
      <c r="Q235" s="60" t="n"/>
      <c r="R235" s="60" t="n"/>
      <c r="S235" s="60" t="n"/>
      <c r="T235" s="61" t="n"/>
      <c r="U235" s="61" t="n"/>
      <c r="V235" s="60" t="n"/>
      <c r="W235" s="60" t="n"/>
      <c r="X235" s="60" t="n"/>
      <c r="Y235" s="60" t="n"/>
      <c r="Z235" s="61" t="n"/>
      <c r="AA235" s="60" t="n"/>
      <c r="AB235" s="60" t="n"/>
      <c r="AC235" s="60" t="n"/>
      <c r="AD235" s="60" t="n"/>
      <c r="AE235" s="63">
        <f>IF($G235="","",TODAY()-$G235)</f>
        <v/>
      </c>
      <c r="AF235" s="63">
        <f>IF($A235="","",IF($M235&gt;0,"Yes","No"))</f>
        <v/>
      </c>
      <c r="AG235" s="63">
        <f>IF($A235="","",IF(AND($E235="Yes",OR($AA235="No",$AA235="NOT FOUND")),"YES",""))</f>
        <v/>
      </c>
      <c r="AH235" s="66">
        <f>IF($A235="","",TRIM(IF(AND($Y235=0,$I235&lt;&gt;"Yes"),"T0-NoPhishResistant ","")&amp;IF($H235="No","NoMFA ","")&amp;IF(AND($Y235=0,$M235&gt;0),"T0-Standing ","")&amp;IF(AND($Y235=0,$S235="Group only"),"T0-ViaGroupOnly ","")&amp;IF($R235="Yes","BroadAzureScope ","")&amp;IF(AND($E235="Yes",$G235=""),"NeverSignedIn ","")))</f>
        <v/>
      </c>
      <c r="AI235" s="60" t="n"/>
      <c r="AJ235" s="61" t="n"/>
      <c r="AK235" s="60" t="n"/>
      <c r="AL235" s="62" t="n"/>
      <c r="AM235" s="62" t="n"/>
      <c r="AN235" s="62" t="n"/>
      <c r="AO235" s="60" t="n"/>
      <c r="AP235" s="61" t="n"/>
      <c r="AQ235" s="63">
        <f>IF($A235="","",IF(AM235="","Not Enrolled",IF(TODAY()&gt;AM235,"Review Overdue",IF(AM235-TODAY()&lt;=30,"Review Due Soon","Active"))))</f>
        <v/>
      </c>
      <c r="AR235" s="63">
        <f>IF($A235="","",IF(AN235="","NOT REVIEWED",IF(TODAY()-AN235&gt;90,"OVERDUE",IF(TODAY()-AN235&gt;76,"Due Soon","Current"))))</f>
        <v/>
      </c>
    </row>
    <row r="236" ht="15" customHeight="1" s="39">
      <c r="A236" s="61" t="n"/>
      <c r="B236" s="60" t="n"/>
      <c r="C236" s="61" t="n"/>
      <c r="D236" s="60" t="n"/>
      <c r="E236" s="60" t="n"/>
      <c r="F236" s="62" t="n"/>
      <c r="G236" s="62" t="n"/>
      <c r="H236" s="60" t="n"/>
      <c r="I236" s="60" t="n"/>
      <c r="J236" s="61" t="n"/>
      <c r="K236" s="61" t="n"/>
      <c r="L236" s="61" t="n"/>
      <c r="M236" s="60" t="n"/>
      <c r="N236" s="60" t="n"/>
      <c r="O236" s="60" t="n"/>
      <c r="P236" s="61" t="n"/>
      <c r="Q236" s="60" t="n"/>
      <c r="R236" s="60" t="n"/>
      <c r="S236" s="60" t="n"/>
      <c r="T236" s="61" t="n"/>
      <c r="U236" s="61" t="n"/>
      <c r="V236" s="60" t="n"/>
      <c r="W236" s="60" t="n"/>
      <c r="X236" s="60" t="n"/>
      <c r="Y236" s="60" t="n"/>
      <c r="Z236" s="61" t="n"/>
      <c r="AA236" s="60" t="n"/>
      <c r="AB236" s="60" t="n"/>
      <c r="AC236" s="60" t="n"/>
      <c r="AD236" s="60" t="n"/>
      <c r="AE236" s="63">
        <f>IF($G236="","",TODAY()-$G236)</f>
        <v/>
      </c>
      <c r="AF236" s="63">
        <f>IF($A236="","",IF($M236&gt;0,"Yes","No"))</f>
        <v/>
      </c>
      <c r="AG236" s="63">
        <f>IF($A236="","",IF(AND($E236="Yes",OR($AA236="No",$AA236="NOT FOUND")),"YES",""))</f>
        <v/>
      </c>
      <c r="AH236" s="66">
        <f>IF($A236="","",TRIM(IF(AND($Y236=0,$I236&lt;&gt;"Yes"),"T0-NoPhishResistant ","")&amp;IF($H236="No","NoMFA ","")&amp;IF(AND($Y236=0,$M236&gt;0),"T0-Standing ","")&amp;IF(AND($Y236=0,$S236="Group only"),"T0-ViaGroupOnly ","")&amp;IF($R236="Yes","BroadAzureScope ","")&amp;IF(AND($E236="Yes",$G236=""),"NeverSignedIn ","")))</f>
        <v/>
      </c>
      <c r="AI236" s="60" t="n"/>
      <c r="AJ236" s="61" t="n"/>
      <c r="AK236" s="60" t="n"/>
      <c r="AL236" s="62" t="n"/>
      <c r="AM236" s="62" t="n"/>
      <c r="AN236" s="62" t="n"/>
      <c r="AO236" s="60" t="n"/>
      <c r="AP236" s="61" t="n"/>
      <c r="AQ236" s="63">
        <f>IF($A236="","",IF(AM236="","Not Enrolled",IF(TODAY()&gt;AM236,"Review Overdue",IF(AM236-TODAY()&lt;=30,"Review Due Soon","Active"))))</f>
        <v/>
      </c>
      <c r="AR236" s="63">
        <f>IF($A236="","",IF(AN236="","NOT REVIEWED",IF(TODAY()-AN236&gt;90,"OVERDUE",IF(TODAY()-AN236&gt;76,"Due Soon","Current"))))</f>
        <v/>
      </c>
    </row>
    <row r="237" ht="15" customHeight="1" s="39">
      <c r="A237" s="61" t="n"/>
      <c r="B237" s="60" t="n"/>
      <c r="C237" s="61" t="n"/>
      <c r="D237" s="60" t="n"/>
      <c r="E237" s="60" t="n"/>
      <c r="F237" s="62" t="n"/>
      <c r="G237" s="62" t="n"/>
      <c r="H237" s="60" t="n"/>
      <c r="I237" s="60" t="n"/>
      <c r="J237" s="61" t="n"/>
      <c r="K237" s="61" t="n"/>
      <c r="L237" s="61" t="n"/>
      <c r="M237" s="60" t="n"/>
      <c r="N237" s="60" t="n"/>
      <c r="O237" s="60" t="n"/>
      <c r="P237" s="61" t="n"/>
      <c r="Q237" s="60" t="n"/>
      <c r="R237" s="60" t="n"/>
      <c r="S237" s="60" t="n"/>
      <c r="T237" s="61" t="n"/>
      <c r="U237" s="61" t="n"/>
      <c r="V237" s="60" t="n"/>
      <c r="W237" s="60" t="n"/>
      <c r="X237" s="60" t="n"/>
      <c r="Y237" s="60" t="n"/>
      <c r="Z237" s="61" t="n"/>
      <c r="AA237" s="60" t="n"/>
      <c r="AB237" s="60" t="n"/>
      <c r="AC237" s="60" t="n"/>
      <c r="AD237" s="60" t="n"/>
      <c r="AE237" s="63">
        <f>IF($G237="","",TODAY()-$G237)</f>
        <v/>
      </c>
      <c r="AF237" s="63">
        <f>IF($A237="","",IF($M237&gt;0,"Yes","No"))</f>
        <v/>
      </c>
      <c r="AG237" s="63">
        <f>IF($A237="","",IF(AND($E237="Yes",OR($AA237="No",$AA237="NOT FOUND")),"YES",""))</f>
        <v/>
      </c>
      <c r="AH237" s="66">
        <f>IF($A237="","",TRIM(IF(AND($Y237=0,$I237&lt;&gt;"Yes"),"T0-NoPhishResistant ","")&amp;IF($H237="No","NoMFA ","")&amp;IF(AND($Y237=0,$M237&gt;0),"T0-Standing ","")&amp;IF(AND($Y237=0,$S237="Group only"),"T0-ViaGroupOnly ","")&amp;IF($R237="Yes","BroadAzureScope ","")&amp;IF(AND($E237="Yes",$G237=""),"NeverSignedIn ","")))</f>
        <v/>
      </c>
      <c r="AI237" s="60" t="n"/>
      <c r="AJ237" s="61" t="n"/>
      <c r="AK237" s="60" t="n"/>
      <c r="AL237" s="62" t="n"/>
      <c r="AM237" s="62" t="n"/>
      <c r="AN237" s="62" t="n"/>
      <c r="AO237" s="60" t="n"/>
      <c r="AP237" s="61" t="n"/>
      <c r="AQ237" s="63">
        <f>IF($A237="","",IF(AM237="","Not Enrolled",IF(TODAY()&gt;AM237,"Review Overdue",IF(AM237-TODAY()&lt;=30,"Review Due Soon","Active"))))</f>
        <v/>
      </c>
      <c r="AR237" s="63">
        <f>IF($A237="","",IF(AN237="","NOT REVIEWED",IF(TODAY()-AN237&gt;90,"OVERDUE",IF(TODAY()-AN237&gt;76,"Due Soon","Current"))))</f>
        <v/>
      </c>
    </row>
    <row r="238" ht="15" customHeight="1" s="39">
      <c r="A238" s="61" t="n"/>
      <c r="B238" s="60" t="n"/>
      <c r="C238" s="61" t="n"/>
      <c r="D238" s="60" t="n"/>
      <c r="E238" s="60" t="n"/>
      <c r="F238" s="62" t="n"/>
      <c r="G238" s="62" t="n"/>
      <c r="H238" s="60" t="n"/>
      <c r="I238" s="60" t="n"/>
      <c r="J238" s="61" t="n"/>
      <c r="K238" s="61" t="n"/>
      <c r="L238" s="61" t="n"/>
      <c r="M238" s="60" t="n"/>
      <c r="N238" s="60" t="n"/>
      <c r="O238" s="60" t="n"/>
      <c r="P238" s="61" t="n"/>
      <c r="Q238" s="60" t="n"/>
      <c r="R238" s="60" t="n"/>
      <c r="S238" s="60" t="n"/>
      <c r="T238" s="61" t="n"/>
      <c r="U238" s="61" t="n"/>
      <c r="V238" s="60" t="n"/>
      <c r="W238" s="60" t="n"/>
      <c r="X238" s="60" t="n"/>
      <c r="Y238" s="60" t="n"/>
      <c r="Z238" s="61" t="n"/>
      <c r="AA238" s="60" t="n"/>
      <c r="AB238" s="60" t="n"/>
      <c r="AC238" s="60" t="n"/>
      <c r="AD238" s="60" t="n"/>
      <c r="AE238" s="63">
        <f>IF($G238="","",TODAY()-$G238)</f>
        <v/>
      </c>
      <c r="AF238" s="63">
        <f>IF($A238="","",IF($M238&gt;0,"Yes","No"))</f>
        <v/>
      </c>
      <c r="AG238" s="63">
        <f>IF($A238="","",IF(AND($E238="Yes",OR($AA238="No",$AA238="NOT FOUND")),"YES",""))</f>
        <v/>
      </c>
      <c r="AH238" s="66">
        <f>IF($A238="","",TRIM(IF(AND($Y238=0,$I238&lt;&gt;"Yes"),"T0-NoPhishResistant ","")&amp;IF($H238="No","NoMFA ","")&amp;IF(AND($Y238=0,$M238&gt;0),"T0-Standing ","")&amp;IF(AND($Y238=0,$S238="Group only"),"T0-ViaGroupOnly ","")&amp;IF($R238="Yes","BroadAzureScope ","")&amp;IF(AND($E238="Yes",$G238=""),"NeverSignedIn ","")))</f>
        <v/>
      </c>
      <c r="AI238" s="60" t="n"/>
      <c r="AJ238" s="61" t="n"/>
      <c r="AK238" s="60" t="n"/>
      <c r="AL238" s="62" t="n"/>
      <c r="AM238" s="62" t="n"/>
      <c r="AN238" s="62" t="n"/>
      <c r="AO238" s="60" t="n"/>
      <c r="AP238" s="61" t="n"/>
      <c r="AQ238" s="63">
        <f>IF($A238="","",IF(AM238="","Not Enrolled",IF(TODAY()&gt;AM238,"Review Overdue",IF(AM238-TODAY()&lt;=30,"Review Due Soon","Active"))))</f>
        <v/>
      </c>
      <c r="AR238" s="63">
        <f>IF($A238="","",IF(AN238="","NOT REVIEWED",IF(TODAY()-AN238&gt;90,"OVERDUE",IF(TODAY()-AN238&gt;76,"Due Soon","Current"))))</f>
        <v/>
      </c>
    </row>
    <row r="239" ht="15" customHeight="1" s="39">
      <c r="A239" s="61" t="n"/>
      <c r="B239" s="60" t="n"/>
      <c r="C239" s="61" t="n"/>
      <c r="D239" s="60" t="n"/>
      <c r="E239" s="60" t="n"/>
      <c r="F239" s="62" t="n"/>
      <c r="G239" s="62" t="n"/>
      <c r="H239" s="60" t="n"/>
      <c r="I239" s="60" t="n"/>
      <c r="J239" s="61" t="n"/>
      <c r="K239" s="61" t="n"/>
      <c r="L239" s="61" t="n"/>
      <c r="M239" s="60" t="n"/>
      <c r="N239" s="60" t="n"/>
      <c r="O239" s="60" t="n"/>
      <c r="P239" s="61" t="n"/>
      <c r="Q239" s="60" t="n"/>
      <c r="R239" s="60" t="n"/>
      <c r="S239" s="60" t="n"/>
      <c r="T239" s="61" t="n"/>
      <c r="U239" s="61" t="n"/>
      <c r="V239" s="60" t="n"/>
      <c r="W239" s="60" t="n"/>
      <c r="X239" s="60" t="n"/>
      <c r="Y239" s="60" t="n"/>
      <c r="Z239" s="61" t="n"/>
      <c r="AA239" s="60" t="n"/>
      <c r="AB239" s="60" t="n"/>
      <c r="AC239" s="60" t="n"/>
      <c r="AD239" s="60" t="n"/>
      <c r="AE239" s="63">
        <f>IF($G239="","",TODAY()-$G239)</f>
        <v/>
      </c>
      <c r="AF239" s="63">
        <f>IF($A239="","",IF($M239&gt;0,"Yes","No"))</f>
        <v/>
      </c>
      <c r="AG239" s="63">
        <f>IF($A239="","",IF(AND($E239="Yes",OR($AA239="No",$AA239="NOT FOUND")),"YES",""))</f>
        <v/>
      </c>
      <c r="AH239" s="66">
        <f>IF($A239="","",TRIM(IF(AND($Y239=0,$I239&lt;&gt;"Yes"),"T0-NoPhishResistant ","")&amp;IF($H239="No","NoMFA ","")&amp;IF(AND($Y239=0,$M239&gt;0),"T0-Standing ","")&amp;IF(AND($Y239=0,$S239="Group only"),"T0-ViaGroupOnly ","")&amp;IF($R239="Yes","BroadAzureScope ","")&amp;IF(AND($E239="Yes",$G239=""),"NeverSignedIn ","")))</f>
        <v/>
      </c>
      <c r="AI239" s="60" t="n"/>
      <c r="AJ239" s="61" t="n"/>
      <c r="AK239" s="60" t="n"/>
      <c r="AL239" s="62" t="n"/>
      <c r="AM239" s="62" t="n"/>
      <c r="AN239" s="62" t="n"/>
      <c r="AO239" s="60" t="n"/>
      <c r="AP239" s="61" t="n"/>
      <c r="AQ239" s="63">
        <f>IF($A239="","",IF(AM239="","Not Enrolled",IF(TODAY()&gt;AM239,"Review Overdue",IF(AM239-TODAY()&lt;=30,"Review Due Soon","Active"))))</f>
        <v/>
      </c>
      <c r="AR239" s="63">
        <f>IF($A239="","",IF(AN239="","NOT REVIEWED",IF(TODAY()-AN239&gt;90,"OVERDUE",IF(TODAY()-AN239&gt;76,"Due Soon","Current"))))</f>
        <v/>
      </c>
    </row>
    <row r="240" ht="15" customHeight="1" s="39">
      <c r="A240" s="61" t="n"/>
      <c r="B240" s="60" t="n"/>
      <c r="C240" s="61" t="n"/>
      <c r="D240" s="60" t="n"/>
      <c r="E240" s="60" t="n"/>
      <c r="F240" s="62" t="n"/>
      <c r="G240" s="62" t="n"/>
      <c r="H240" s="60" t="n"/>
      <c r="I240" s="60" t="n"/>
      <c r="J240" s="61" t="n"/>
      <c r="K240" s="61" t="n"/>
      <c r="L240" s="61" t="n"/>
      <c r="M240" s="60" t="n"/>
      <c r="N240" s="60" t="n"/>
      <c r="O240" s="60" t="n"/>
      <c r="P240" s="61" t="n"/>
      <c r="Q240" s="60" t="n"/>
      <c r="R240" s="60" t="n"/>
      <c r="S240" s="60" t="n"/>
      <c r="T240" s="61" t="n"/>
      <c r="U240" s="61" t="n"/>
      <c r="V240" s="60" t="n"/>
      <c r="W240" s="60" t="n"/>
      <c r="X240" s="60" t="n"/>
      <c r="Y240" s="60" t="n"/>
      <c r="Z240" s="61" t="n"/>
      <c r="AA240" s="60" t="n"/>
      <c r="AB240" s="60" t="n"/>
      <c r="AC240" s="60" t="n"/>
      <c r="AD240" s="60" t="n"/>
      <c r="AE240" s="63">
        <f>IF($G240="","",TODAY()-$G240)</f>
        <v/>
      </c>
      <c r="AF240" s="63">
        <f>IF($A240="","",IF($M240&gt;0,"Yes","No"))</f>
        <v/>
      </c>
      <c r="AG240" s="63">
        <f>IF($A240="","",IF(AND($E240="Yes",OR($AA240="No",$AA240="NOT FOUND")),"YES",""))</f>
        <v/>
      </c>
      <c r="AH240" s="66">
        <f>IF($A240="","",TRIM(IF(AND($Y240=0,$I240&lt;&gt;"Yes"),"T0-NoPhishResistant ","")&amp;IF($H240="No","NoMFA ","")&amp;IF(AND($Y240=0,$M240&gt;0),"T0-Standing ","")&amp;IF(AND($Y240=0,$S240="Group only"),"T0-ViaGroupOnly ","")&amp;IF($R240="Yes","BroadAzureScope ","")&amp;IF(AND($E240="Yes",$G240=""),"NeverSignedIn ","")))</f>
        <v/>
      </c>
      <c r="AI240" s="60" t="n"/>
      <c r="AJ240" s="61" t="n"/>
      <c r="AK240" s="60" t="n"/>
      <c r="AL240" s="62" t="n"/>
      <c r="AM240" s="62" t="n"/>
      <c r="AN240" s="62" t="n"/>
      <c r="AO240" s="60" t="n"/>
      <c r="AP240" s="61" t="n"/>
      <c r="AQ240" s="63">
        <f>IF($A240="","",IF(AM240="","Not Enrolled",IF(TODAY()&gt;AM240,"Review Overdue",IF(AM240-TODAY()&lt;=30,"Review Due Soon","Active"))))</f>
        <v/>
      </c>
      <c r="AR240" s="63">
        <f>IF($A240="","",IF(AN240="","NOT REVIEWED",IF(TODAY()-AN240&gt;90,"OVERDUE",IF(TODAY()-AN240&gt;76,"Due Soon","Current"))))</f>
        <v/>
      </c>
    </row>
    <row r="241" ht="15" customHeight="1" s="39">
      <c r="A241" s="61" t="n"/>
      <c r="B241" s="60" t="n"/>
      <c r="C241" s="61" t="n"/>
      <c r="D241" s="60" t="n"/>
      <c r="E241" s="60" t="n"/>
      <c r="F241" s="62" t="n"/>
      <c r="G241" s="62" t="n"/>
      <c r="H241" s="60" t="n"/>
      <c r="I241" s="60" t="n"/>
      <c r="J241" s="61" t="n"/>
      <c r="K241" s="61" t="n"/>
      <c r="L241" s="61" t="n"/>
      <c r="M241" s="60" t="n"/>
      <c r="N241" s="60" t="n"/>
      <c r="O241" s="60" t="n"/>
      <c r="P241" s="61" t="n"/>
      <c r="Q241" s="60" t="n"/>
      <c r="R241" s="60" t="n"/>
      <c r="S241" s="60" t="n"/>
      <c r="T241" s="61" t="n"/>
      <c r="U241" s="61" t="n"/>
      <c r="V241" s="60" t="n"/>
      <c r="W241" s="60" t="n"/>
      <c r="X241" s="60" t="n"/>
      <c r="Y241" s="60" t="n"/>
      <c r="Z241" s="61" t="n"/>
      <c r="AA241" s="60" t="n"/>
      <c r="AB241" s="60" t="n"/>
      <c r="AC241" s="60" t="n"/>
      <c r="AD241" s="60" t="n"/>
      <c r="AE241" s="63">
        <f>IF($G241="","",TODAY()-$G241)</f>
        <v/>
      </c>
      <c r="AF241" s="63">
        <f>IF($A241="","",IF($M241&gt;0,"Yes","No"))</f>
        <v/>
      </c>
      <c r="AG241" s="63">
        <f>IF($A241="","",IF(AND($E241="Yes",OR($AA241="No",$AA241="NOT FOUND")),"YES",""))</f>
        <v/>
      </c>
      <c r="AH241" s="66">
        <f>IF($A241="","",TRIM(IF(AND($Y241=0,$I241&lt;&gt;"Yes"),"T0-NoPhishResistant ","")&amp;IF($H241="No","NoMFA ","")&amp;IF(AND($Y241=0,$M241&gt;0),"T0-Standing ","")&amp;IF(AND($Y241=0,$S241="Group only"),"T0-ViaGroupOnly ","")&amp;IF($R241="Yes","BroadAzureScope ","")&amp;IF(AND($E241="Yes",$G241=""),"NeverSignedIn ","")))</f>
        <v/>
      </c>
      <c r="AI241" s="60" t="n"/>
      <c r="AJ241" s="61" t="n"/>
      <c r="AK241" s="60" t="n"/>
      <c r="AL241" s="62" t="n"/>
      <c r="AM241" s="62" t="n"/>
      <c r="AN241" s="62" t="n"/>
      <c r="AO241" s="60" t="n"/>
      <c r="AP241" s="61" t="n"/>
      <c r="AQ241" s="63">
        <f>IF($A241="","",IF(AM241="","Not Enrolled",IF(TODAY()&gt;AM241,"Review Overdue",IF(AM241-TODAY()&lt;=30,"Review Due Soon","Active"))))</f>
        <v/>
      </c>
      <c r="AR241" s="63">
        <f>IF($A241="","",IF(AN241="","NOT REVIEWED",IF(TODAY()-AN241&gt;90,"OVERDUE",IF(TODAY()-AN241&gt;76,"Due Soon","Current"))))</f>
        <v/>
      </c>
    </row>
    <row r="242" ht="15" customHeight="1" s="39">
      <c r="A242" s="61" t="n"/>
      <c r="B242" s="60" t="n"/>
      <c r="C242" s="61" t="n"/>
      <c r="D242" s="60" t="n"/>
      <c r="E242" s="60" t="n"/>
      <c r="F242" s="62" t="n"/>
      <c r="G242" s="62" t="n"/>
      <c r="H242" s="60" t="n"/>
      <c r="I242" s="60" t="n"/>
      <c r="J242" s="61" t="n"/>
      <c r="K242" s="61" t="n"/>
      <c r="L242" s="61" t="n"/>
      <c r="M242" s="60" t="n"/>
      <c r="N242" s="60" t="n"/>
      <c r="O242" s="60" t="n"/>
      <c r="P242" s="61" t="n"/>
      <c r="Q242" s="60" t="n"/>
      <c r="R242" s="60" t="n"/>
      <c r="S242" s="60" t="n"/>
      <c r="T242" s="61" t="n"/>
      <c r="U242" s="61" t="n"/>
      <c r="V242" s="60" t="n"/>
      <c r="W242" s="60" t="n"/>
      <c r="X242" s="60" t="n"/>
      <c r="Y242" s="60" t="n"/>
      <c r="Z242" s="61" t="n"/>
      <c r="AA242" s="60" t="n"/>
      <c r="AB242" s="60" t="n"/>
      <c r="AC242" s="60" t="n"/>
      <c r="AD242" s="60" t="n"/>
      <c r="AE242" s="63">
        <f>IF($G242="","",TODAY()-$G242)</f>
        <v/>
      </c>
      <c r="AF242" s="63">
        <f>IF($A242="","",IF($M242&gt;0,"Yes","No"))</f>
        <v/>
      </c>
      <c r="AG242" s="63">
        <f>IF($A242="","",IF(AND($E242="Yes",OR($AA242="No",$AA242="NOT FOUND")),"YES",""))</f>
        <v/>
      </c>
      <c r="AH242" s="66">
        <f>IF($A242="","",TRIM(IF(AND($Y242=0,$I242&lt;&gt;"Yes"),"T0-NoPhishResistant ","")&amp;IF($H242="No","NoMFA ","")&amp;IF(AND($Y242=0,$M242&gt;0),"T0-Standing ","")&amp;IF(AND($Y242=0,$S242="Group only"),"T0-ViaGroupOnly ","")&amp;IF($R242="Yes","BroadAzureScope ","")&amp;IF(AND($E242="Yes",$G242=""),"NeverSignedIn ","")))</f>
        <v/>
      </c>
      <c r="AI242" s="60" t="n"/>
      <c r="AJ242" s="61" t="n"/>
      <c r="AK242" s="60" t="n"/>
      <c r="AL242" s="62" t="n"/>
      <c r="AM242" s="62" t="n"/>
      <c r="AN242" s="62" t="n"/>
      <c r="AO242" s="60" t="n"/>
      <c r="AP242" s="61" t="n"/>
      <c r="AQ242" s="63">
        <f>IF($A242="","",IF(AM242="","Not Enrolled",IF(TODAY()&gt;AM242,"Review Overdue",IF(AM242-TODAY()&lt;=30,"Review Due Soon","Active"))))</f>
        <v/>
      </c>
      <c r="AR242" s="63">
        <f>IF($A242="","",IF(AN242="","NOT REVIEWED",IF(TODAY()-AN242&gt;90,"OVERDUE",IF(TODAY()-AN242&gt;76,"Due Soon","Current"))))</f>
        <v/>
      </c>
    </row>
    <row r="243" ht="15" customHeight="1" s="39">
      <c r="A243" s="61" t="n"/>
      <c r="B243" s="60" t="n"/>
      <c r="C243" s="61" t="n"/>
      <c r="D243" s="60" t="n"/>
      <c r="E243" s="60" t="n"/>
      <c r="F243" s="62" t="n"/>
      <c r="G243" s="62" t="n"/>
      <c r="H243" s="60" t="n"/>
      <c r="I243" s="60" t="n"/>
      <c r="J243" s="61" t="n"/>
      <c r="K243" s="61" t="n"/>
      <c r="L243" s="61" t="n"/>
      <c r="M243" s="60" t="n"/>
      <c r="N243" s="60" t="n"/>
      <c r="O243" s="60" t="n"/>
      <c r="P243" s="61" t="n"/>
      <c r="Q243" s="60" t="n"/>
      <c r="R243" s="60" t="n"/>
      <c r="S243" s="60" t="n"/>
      <c r="T243" s="61" t="n"/>
      <c r="U243" s="61" t="n"/>
      <c r="V243" s="60" t="n"/>
      <c r="W243" s="60" t="n"/>
      <c r="X243" s="60" t="n"/>
      <c r="Y243" s="60" t="n"/>
      <c r="Z243" s="61" t="n"/>
      <c r="AA243" s="60" t="n"/>
      <c r="AB243" s="60" t="n"/>
      <c r="AC243" s="60" t="n"/>
      <c r="AD243" s="60" t="n"/>
      <c r="AE243" s="63">
        <f>IF($G243="","",TODAY()-$G243)</f>
        <v/>
      </c>
      <c r="AF243" s="63">
        <f>IF($A243="","",IF($M243&gt;0,"Yes","No"))</f>
        <v/>
      </c>
      <c r="AG243" s="63">
        <f>IF($A243="","",IF(AND($E243="Yes",OR($AA243="No",$AA243="NOT FOUND")),"YES",""))</f>
        <v/>
      </c>
      <c r="AH243" s="66">
        <f>IF($A243="","",TRIM(IF(AND($Y243=0,$I243&lt;&gt;"Yes"),"T0-NoPhishResistant ","")&amp;IF($H243="No","NoMFA ","")&amp;IF(AND($Y243=0,$M243&gt;0),"T0-Standing ","")&amp;IF(AND($Y243=0,$S243="Group only"),"T0-ViaGroupOnly ","")&amp;IF($R243="Yes","BroadAzureScope ","")&amp;IF(AND($E243="Yes",$G243=""),"NeverSignedIn ","")))</f>
        <v/>
      </c>
      <c r="AI243" s="60" t="n"/>
      <c r="AJ243" s="61" t="n"/>
      <c r="AK243" s="60" t="n"/>
      <c r="AL243" s="62" t="n"/>
      <c r="AM243" s="62" t="n"/>
      <c r="AN243" s="62" t="n"/>
      <c r="AO243" s="60" t="n"/>
      <c r="AP243" s="61" t="n"/>
      <c r="AQ243" s="63">
        <f>IF($A243="","",IF(AM243="","Not Enrolled",IF(TODAY()&gt;AM243,"Review Overdue",IF(AM243-TODAY()&lt;=30,"Review Due Soon","Active"))))</f>
        <v/>
      </c>
      <c r="AR243" s="63">
        <f>IF($A243="","",IF(AN243="","NOT REVIEWED",IF(TODAY()-AN243&gt;90,"OVERDUE",IF(TODAY()-AN243&gt;76,"Due Soon","Current"))))</f>
        <v/>
      </c>
    </row>
    <row r="244" ht="15" customHeight="1" s="39">
      <c r="A244" s="61" t="n"/>
      <c r="B244" s="60" t="n"/>
      <c r="C244" s="61" t="n"/>
      <c r="D244" s="60" t="n"/>
      <c r="E244" s="60" t="n"/>
      <c r="F244" s="62" t="n"/>
      <c r="G244" s="62" t="n"/>
      <c r="H244" s="60" t="n"/>
      <c r="I244" s="60" t="n"/>
      <c r="J244" s="61" t="n"/>
      <c r="K244" s="61" t="n"/>
      <c r="L244" s="61" t="n"/>
      <c r="M244" s="60" t="n"/>
      <c r="N244" s="60" t="n"/>
      <c r="O244" s="60" t="n"/>
      <c r="P244" s="61" t="n"/>
      <c r="Q244" s="60" t="n"/>
      <c r="R244" s="60" t="n"/>
      <c r="S244" s="60" t="n"/>
      <c r="T244" s="61" t="n"/>
      <c r="U244" s="61" t="n"/>
      <c r="V244" s="60" t="n"/>
      <c r="W244" s="60" t="n"/>
      <c r="X244" s="60" t="n"/>
      <c r="Y244" s="60" t="n"/>
      <c r="Z244" s="61" t="n"/>
      <c r="AA244" s="60" t="n"/>
      <c r="AB244" s="60" t="n"/>
      <c r="AC244" s="60" t="n"/>
      <c r="AD244" s="60" t="n"/>
      <c r="AE244" s="63">
        <f>IF($G244="","",TODAY()-$G244)</f>
        <v/>
      </c>
      <c r="AF244" s="63">
        <f>IF($A244="","",IF($M244&gt;0,"Yes","No"))</f>
        <v/>
      </c>
      <c r="AG244" s="63">
        <f>IF($A244="","",IF(AND($E244="Yes",OR($AA244="No",$AA244="NOT FOUND")),"YES",""))</f>
        <v/>
      </c>
      <c r="AH244" s="66">
        <f>IF($A244="","",TRIM(IF(AND($Y244=0,$I244&lt;&gt;"Yes"),"T0-NoPhishResistant ","")&amp;IF($H244="No","NoMFA ","")&amp;IF(AND($Y244=0,$M244&gt;0),"T0-Standing ","")&amp;IF(AND($Y244=0,$S244="Group only"),"T0-ViaGroupOnly ","")&amp;IF($R244="Yes","BroadAzureScope ","")&amp;IF(AND($E244="Yes",$G244=""),"NeverSignedIn ","")))</f>
        <v/>
      </c>
      <c r="AI244" s="60" t="n"/>
      <c r="AJ244" s="61" t="n"/>
      <c r="AK244" s="60" t="n"/>
      <c r="AL244" s="62" t="n"/>
      <c r="AM244" s="62" t="n"/>
      <c r="AN244" s="62" t="n"/>
      <c r="AO244" s="60" t="n"/>
      <c r="AP244" s="61" t="n"/>
      <c r="AQ244" s="63">
        <f>IF($A244="","",IF(AM244="","Not Enrolled",IF(TODAY()&gt;AM244,"Review Overdue",IF(AM244-TODAY()&lt;=30,"Review Due Soon","Active"))))</f>
        <v/>
      </c>
      <c r="AR244" s="63">
        <f>IF($A244="","",IF(AN244="","NOT REVIEWED",IF(TODAY()-AN244&gt;90,"OVERDUE",IF(TODAY()-AN244&gt;76,"Due Soon","Current"))))</f>
        <v/>
      </c>
    </row>
    <row r="245" ht="15" customHeight="1" s="39">
      <c r="A245" s="61" t="n"/>
      <c r="B245" s="60" t="n"/>
      <c r="C245" s="61" t="n"/>
      <c r="D245" s="60" t="n"/>
      <c r="E245" s="60" t="n"/>
      <c r="F245" s="62" t="n"/>
      <c r="G245" s="62" t="n"/>
      <c r="H245" s="60" t="n"/>
      <c r="I245" s="60" t="n"/>
      <c r="J245" s="61" t="n"/>
      <c r="K245" s="61" t="n"/>
      <c r="L245" s="61" t="n"/>
      <c r="M245" s="60" t="n"/>
      <c r="N245" s="60" t="n"/>
      <c r="O245" s="60" t="n"/>
      <c r="P245" s="61" t="n"/>
      <c r="Q245" s="60" t="n"/>
      <c r="R245" s="60" t="n"/>
      <c r="S245" s="60" t="n"/>
      <c r="T245" s="61" t="n"/>
      <c r="U245" s="61" t="n"/>
      <c r="V245" s="60" t="n"/>
      <c r="W245" s="60" t="n"/>
      <c r="X245" s="60" t="n"/>
      <c r="Y245" s="60" t="n"/>
      <c r="Z245" s="61" t="n"/>
      <c r="AA245" s="60" t="n"/>
      <c r="AB245" s="60" t="n"/>
      <c r="AC245" s="60" t="n"/>
      <c r="AD245" s="60" t="n"/>
      <c r="AE245" s="63">
        <f>IF($G245="","",TODAY()-$G245)</f>
        <v/>
      </c>
      <c r="AF245" s="63">
        <f>IF($A245="","",IF($M245&gt;0,"Yes","No"))</f>
        <v/>
      </c>
      <c r="AG245" s="63">
        <f>IF($A245="","",IF(AND($E245="Yes",OR($AA245="No",$AA245="NOT FOUND")),"YES",""))</f>
        <v/>
      </c>
      <c r="AH245" s="66">
        <f>IF($A245="","",TRIM(IF(AND($Y245=0,$I245&lt;&gt;"Yes"),"T0-NoPhishResistant ","")&amp;IF($H245="No","NoMFA ","")&amp;IF(AND($Y245=0,$M245&gt;0),"T0-Standing ","")&amp;IF(AND($Y245=0,$S245="Group only"),"T0-ViaGroupOnly ","")&amp;IF($R245="Yes","BroadAzureScope ","")&amp;IF(AND($E245="Yes",$G245=""),"NeverSignedIn ","")))</f>
        <v/>
      </c>
      <c r="AI245" s="60" t="n"/>
      <c r="AJ245" s="61" t="n"/>
      <c r="AK245" s="60" t="n"/>
      <c r="AL245" s="62" t="n"/>
      <c r="AM245" s="62" t="n"/>
      <c r="AN245" s="62" t="n"/>
      <c r="AO245" s="60" t="n"/>
      <c r="AP245" s="61" t="n"/>
      <c r="AQ245" s="63">
        <f>IF($A245="","",IF(AM245="","Not Enrolled",IF(TODAY()&gt;AM245,"Review Overdue",IF(AM245-TODAY()&lt;=30,"Review Due Soon","Active"))))</f>
        <v/>
      </c>
      <c r="AR245" s="63">
        <f>IF($A245="","",IF(AN245="","NOT REVIEWED",IF(TODAY()-AN245&gt;90,"OVERDUE",IF(TODAY()-AN245&gt;76,"Due Soon","Current"))))</f>
        <v/>
      </c>
    </row>
    <row r="246" ht="15" customHeight="1" s="39">
      <c r="A246" s="61" t="n"/>
      <c r="B246" s="60" t="n"/>
      <c r="C246" s="61" t="n"/>
      <c r="D246" s="60" t="n"/>
      <c r="E246" s="60" t="n"/>
      <c r="F246" s="62" t="n"/>
      <c r="G246" s="62" t="n"/>
      <c r="H246" s="60" t="n"/>
      <c r="I246" s="60" t="n"/>
      <c r="J246" s="61" t="n"/>
      <c r="K246" s="61" t="n"/>
      <c r="L246" s="61" t="n"/>
      <c r="M246" s="60" t="n"/>
      <c r="N246" s="60" t="n"/>
      <c r="O246" s="60" t="n"/>
      <c r="P246" s="61" t="n"/>
      <c r="Q246" s="60" t="n"/>
      <c r="R246" s="60" t="n"/>
      <c r="S246" s="60" t="n"/>
      <c r="T246" s="61" t="n"/>
      <c r="U246" s="61" t="n"/>
      <c r="V246" s="60" t="n"/>
      <c r="W246" s="60" t="n"/>
      <c r="X246" s="60" t="n"/>
      <c r="Y246" s="60" t="n"/>
      <c r="Z246" s="61" t="n"/>
      <c r="AA246" s="60" t="n"/>
      <c r="AB246" s="60" t="n"/>
      <c r="AC246" s="60" t="n"/>
      <c r="AD246" s="60" t="n"/>
      <c r="AE246" s="63">
        <f>IF($G246="","",TODAY()-$G246)</f>
        <v/>
      </c>
      <c r="AF246" s="63">
        <f>IF($A246="","",IF($M246&gt;0,"Yes","No"))</f>
        <v/>
      </c>
      <c r="AG246" s="63">
        <f>IF($A246="","",IF(AND($E246="Yes",OR($AA246="No",$AA246="NOT FOUND")),"YES",""))</f>
        <v/>
      </c>
      <c r="AH246" s="66">
        <f>IF($A246="","",TRIM(IF(AND($Y246=0,$I246&lt;&gt;"Yes"),"T0-NoPhishResistant ","")&amp;IF($H246="No","NoMFA ","")&amp;IF(AND($Y246=0,$M246&gt;0),"T0-Standing ","")&amp;IF(AND($Y246=0,$S246="Group only"),"T0-ViaGroupOnly ","")&amp;IF($R246="Yes","BroadAzureScope ","")&amp;IF(AND($E246="Yes",$G246=""),"NeverSignedIn ","")))</f>
        <v/>
      </c>
      <c r="AI246" s="60" t="n"/>
      <c r="AJ246" s="61" t="n"/>
      <c r="AK246" s="60" t="n"/>
      <c r="AL246" s="62" t="n"/>
      <c r="AM246" s="62" t="n"/>
      <c r="AN246" s="62" t="n"/>
      <c r="AO246" s="60" t="n"/>
      <c r="AP246" s="61" t="n"/>
      <c r="AQ246" s="63">
        <f>IF($A246="","",IF(AM246="","Not Enrolled",IF(TODAY()&gt;AM246,"Review Overdue",IF(AM246-TODAY()&lt;=30,"Review Due Soon","Active"))))</f>
        <v/>
      </c>
      <c r="AR246" s="63">
        <f>IF($A246="","",IF(AN246="","NOT REVIEWED",IF(TODAY()-AN246&gt;90,"OVERDUE",IF(TODAY()-AN246&gt;76,"Due Soon","Current"))))</f>
        <v/>
      </c>
    </row>
    <row r="247" ht="15" customHeight="1" s="39">
      <c r="A247" s="61" t="n"/>
      <c r="B247" s="60" t="n"/>
      <c r="C247" s="61" t="n"/>
      <c r="D247" s="60" t="n"/>
      <c r="E247" s="60" t="n"/>
      <c r="F247" s="62" t="n"/>
      <c r="G247" s="62" t="n"/>
      <c r="H247" s="60" t="n"/>
      <c r="I247" s="60" t="n"/>
      <c r="J247" s="61" t="n"/>
      <c r="K247" s="61" t="n"/>
      <c r="L247" s="61" t="n"/>
      <c r="M247" s="60" t="n"/>
      <c r="N247" s="60" t="n"/>
      <c r="O247" s="60" t="n"/>
      <c r="P247" s="61" t="n"/>
      <c r="Q247" s="60" t="n"/>
      <c r="R247" s="60" t="n"/>
      <c r="S247" s="60" t="n"/>
      <c r="T247" s="61" t="n"/>
      <c r="U247" s="61" t="n"/>
      <c r="V247" s="60" t="n"/>
      <c r="W247" s="60" t="n"/>
      <c r="X247" s="60" t="n"/>
      <c r="Y247" s="60" t="n"/>
      <c r="Z247" s="61" t="n"/>
      <c r="AA247" s="60" t="n"/>
      <c r="AB247" s="60" t="n"/>
      <c r="AC247" s="60" t="n"/>
      <c r="AD247" s="60" t="n"/>
      <c r="AE247" s="63">
        <f>IF($G247="","",TODAY()-$G247)</f>
        <v/>
      </c>
      <c r="AF247" s="63">
        <f>IF($A247="","",IF($M247&gt;0,"Yes","No"))</f>
        <v/>
      </c>
      <c r="AG247" s="63">
        <f>IF($A247="","",IF(AND($E247="Yes",OR($AA247="No",$AA247="NOT FOUND")),"YES",""))</f>
        <v/>
      </c>
      <c r="AH247" s="66">
        <f>IF($A247="","",TRIM(IF(AND($Y247=0,$I247&lt;&gt;"Yes"),"T0-NoPhishResistant ","")&amp;IF($H247="No","NoMFA ","")&amp;IF(AND($Y247=0,$M247&gt;0),"T0-Standing ","")&amp;IF(AND($Y247=0,$S247="Group only"),"T0-ViaGroupOnly ","")&amp;IF($R247="Yes","BroadAzureScope ","")&amp;IF(AND($E247="Yes",$G247=""),"NeverSignedIn ","")))</f>
        <v/>
      </c>
      <c r="AI247" s="60" t="n"/>
      <c r="AJ247" s="61" t="n"/>
      <c r="AK247" s="60" t="n"/>
      <c r="AL247" s="62" t="n"/>
      <c r="AM247" s="62" t="n"/>
      <c r="AN247" s="62" t="n"/>
      <c r="AO247" s="60" t="n"/>
      <c r="AP247" s="61" t="n"/>
      <c r="AQ247" s="63">
        <f>IF($A247="","",IF(AM247="","Not Enrolled",IF(TODAY()&gt;AM247,"Review Overdue",IF(AM247-TODAY()&lt;=30,"Review Due Soon","Active"))))</f>
        <v/>
      </c>
      <c r="AR247" s="63">
        <f>IF($A247="","",IF(AN247="","NOT REVIEWED",IF(TODAY()-AN247&gt;90,"OVERDUE",IF(TODAY()-AN247&gt;76,"Due Soon","Current"))))</f>
        <v/>
      </c>
    </row>
    <row r="248" ht="15" customHeight="1" s="39">
      <c r="A248" s="61" t="n"/>
      <c r="B248" s="60" t="n"/>
      <c r="C248" s="61" t="n"/>
      <c r="D248" s="60" t="n"/>
      <c r="E248" s="60" t="n"/>
      <c r="F248" s="62" t="n"/>
      <c r="G248" s="62" t="n"/>
      <c r="H248" s="60" t="n"/>
      <c r="I248" s="60" t="n"/>
      <c r="J248" s="61" t="n"/>
      <c r="K248" s="61" t="n"/>
      <c r="L248" s="61" t="n"/>
      <c r="M248" s="60" t="n"/>
      <c r="N248" s="60" t="n"/>
      <c r="O248" s="60" t="n"/>
      <c r="P248" s="61" t="n"/>
      <c r="Q248" s="60" t="n"/>
      <c r="R248" s="60" t="n"/>
      <c r="S248" s="60" t="n"/>
      <c r="T248" s="61" t="n"/>
      <c r="U248" s="61" t="n"/>
      <c r="V248" s="60" t="n"/>
      <c r="W248" s="60" t="n"/>
      <c r="X248" s="60" t="n"/>
      <c r="Y248" s="60" t="n"/>
      <c r="Z248" s="61" t="n"/>
      <c r="AA248" s="60" t="n"/>
      <c r="AB248" s="60" t="n"/>
      <c r="AC248" s="60" t="n"/>
      <c r="AD248" s="60" t="n"/>
      <c r="AE248" s="63">
        <f>IF($G248="","",TODAY()-$G248)</f>
        <v/>
      </c>
      <c r="AF248" s="63">
        <f>IF($A248="","",IF($M248&gt;0,"Yes","No"))</f>
        <v/>
      </c>
      <c r="AG248" s="63">
        <f>IF($A248="","",IF(AND($E248="Yes",OR($AA248="No",$AA248="NOT FOUND")),"YES",""))</f>
        <v/>
      </c>
      <c r="AH248" s="66">
        <f>IF($A248="","",TRIM(IF(AND($Y248=0,$I248&lt;&gt;"Yes"),"T0-NoPhishResistant ","")&amp;IF($H248="No","NoMFA ","")&amp;IF(AND($Y248=0,$M248&gt;0),"T0-Standing ","")&amp;IF(AND($Y248=0,$S248="Group only"),"T0-ViaGroupOnly ","")&amp;IF($R248="Yes","BroadAzureScope ","")&amp;IF(AND($E248="Yes",$G248=""),"NeverSignedIn ","")))</f>
        <v/>
      </c>
      <c r="AI248" s="60" t="n"/>
      <c r="AJ248" s="61" t="n"/>
      <c r="AK248" s="60" t="n"/>
      <c r="AL248" s="62" t="n"/>
      <c r="AM248" s="62" t="n"/>
      <c r="AN248" s="62" t="n"/>
      <c r="AO248" s="60" t="n"/>
      <c r="AP248" s="61" t="n"/>
      <c r="AQ248" s="63">
        <f>IF($A248="","",IF(AM248="","Not Enrolled",IF(TODAY()&gt;AM248,"Review Overdue",IF(AM248-TODAY()&lt;=30,"Review Due Soon","Active"))))</f>
        <v/>
      </c>
      <c r="AR248" s="63">
        <f>IF($A248="","",IF(AN248="","NOT REVIEWED",IF(TODAY()-AN248&gt;90,"OVERDUE",IF(TODAY()-AN248&gt;76,"Due Soon","Current"))))</f>
        <v/>
      </c>
    </row>
    <row r="249" ht="15" customHeight="1" s="39">
      <c r="A249" s="61" t="n"/>
      <c r="B249" s="60" t="n"/>
      <c r="C249" s="61" t="n"/>
      <c r="D249" s="60" t="n"/>
      <c r="E249" s="60" t="n"/>
      <c r="F249" s="62" t="n"/>
      <c r="G249" s="62" t="n"/>
      <c r="H249" s="60" t="n"/>
      <c r="I249" s="60" t="n"/>
      <c r="J249" s="61" t="n"/>
      <c r="K249" s="61" t="n"/>
      <c r="L249" s="61" t="n"/>
      <c r="M249" s="60" t="n"/>
      <c r="N249" s="60" t="n"/>
      <c r="O249" s="60" t="n"/>
      <c r="P249" s="61" t="n"/>
      <c r="Q249" s="60" t="n"/>
      <c r="R249" s="60" t="n"/>
      <c r="S249" s="60" t="n"/>
      <c r="T249" s="61" t="n"/>
      <c r="U249" s="61" t="n"/>
      <c r="V249" s="60" t="n"/>
      <c r="W249" s="60" t="n"/>
      <c r="X249" s="60" t="n"/>
      <c r="Y249" s="60" t="n"/>
      <c r="Z249" s="61" t="n"/>
      <c r="AA249" s="60" t="n"/>
      <c r="AB249" s="60" t="n"/>
      <c r="AC249" s="60" t="n"/>
      <c r="AD249" s="60" t="n"/>
      <c r="AE249" s="63">
        <f>IF($G249="","",TODAY()-$G249)</f>
        <v/>
      </c>
      <c r="AF249" s="63">
        <f>IF($A249="","",IF($M249&gt;0,"Yes","No"))</f>
        <v/>
      </c>
      <c r="AG249" s="63">
        <f>IF($A249="","",IF(AND($E249="Yes",OR($AA249="No",$AA249="NOT FOUND")),"YES",""))</f>
        <v/>
      </c>
      <c r="AH249" s="66">
        <f>IF($A249="","",TRIM(IF(AND($Y249=0,$I249&lt;&gt;"Yes"),"T0-NoPhishResistant ","")&amp;IF($H249="No","NoMFA ","")&amp;IF(AND($Y249=0,$M249&gt;0),"T0-Standing ","")&amp;IF(AND($Y249=0,$S249="Group only"),"T0-ViaGroupOnly ","")&amp;IF($R249="Yes","BroadAzureScope ","")&amp;IF(AND($E249="Yes",$G249=""),"NeverSignedIn ","")))</f>
        <v/>
      </c>
      <c r="AI249" s="60" t="n"/>
      <c r="AJ249" s="61" t="n"/>
      <c r="AK249" s="60" t="n"/>
      <c r="AL249" s="62" t="n"/>
      <c r="AM249" s="62" t="n"/>
      <c r="AN249" s="62" t="n"/>
      <c r="AO249" s="60" t="n"/>
      <c r="AP249" s="61" t="n"/>
      <c r="AQ249" s="63">
        <f>IF($A249="","",IF(AM249="","Not Enrolled",IF(TODAY()&gt;AM249,"Review Overdue",IF(AM249-TODAY()&lt;=30,"Review Due Soon","Active"))))</f>
        <v/>
      </c>
      <c r="AR249" s="63">
        <f>IF($A249="","",IF(AN249="","NOT REVIEWED",IF(TODAY()-AN249&gt;90,"OVERDUE",IF(TODAY()-AN249&gt;76,"Due Soon","Current"))))</f>
        <v/>
      </c>
    </row>
    <row r="250" ht="15" customHeight="1" s="39">
      <c r="A250" s="61" t="n"/>
      <c r="B250" s="60" t="n"/>
      <c r="C250" s="61" t="n"/>
      <c r="D250" s="60" t="n"/>
      <c r="E250" s="60" t="n"/>
      <c r="F250" s="62" t="n"/>
      <c r="G250" s="62" t="n"/>
      <c r="H250" s="60" t="n"/>
      <c r="I250" s="60" t="n"/>
      <c r="J250" s="61" t="n"/>
      <c r="K250" s="61" t="n"/>
      <c r="L250" s="61" t="n"/>
      <c r="M250" s="60" t="n"/>
      <c r="N250" s="60" t="n"/>
      <c r="O250" s="60" t="n"/>
      <c r="P250" s="61" t="n"/>
      <c r="Q250" s="60" t="n"/>
      <c r="R250" s="60" t="n"/>
      <c r="S250" s="60" t="n"/>
      <c r="T250" s="61" t="n"/>
      <c r="U250" s="61" t="n"/>
      <c r="V250" s="60" t="n"/>
      <c r="W250" s="60" t="n"/>
      <c r="X250" s="60" t="n"/>
      <c r="Y250" s="60" t="n"/>
      <c r="Z250" s="61" t="n"/>
      <c r="AA250" s="60" t="n"/>
      <c r="AB250" s="60" t="n"/>
      <c r="AC250" s="60" t="n"/>
      <c r="AD250" s="60" t="n"/>
      <c r="AE250" s="63">
        <f>IF($G250="","",TODAY()-$G250)</f>
        <v/>
      </c>
      <c r="AF250" s="63">
        <f>IF($A250="","",IF($M250&gt;0,"Yes","No"))</f>
        <v/>
      </c>
      <c r="AG250" s="63">
        <f>IF($A250="","",IF(AND($E250="Yes",OR($AA250="No",$AA250="NOT FOUND")),"YES",""))</f>
        <v/>
      </c>
      <c r="AH250" s="66">
        <f>IF($A250="","",TRIM(IF(AND($Y250=0,$I250&lt;&gt;"Yes"),"T0-NoPhishResistant ","")&amp;IF($H250="No","NoMFA ","")&amp;IF(AND($Y250=0,$M250&gt;0),"T0-Standing ","")&amp;IF(AND($Y250=0,$S250="Group only"),"T0-ViaGroupOnly ","")&amp;IF($R250="Yes","BroadAzureScope ","")&amp;IF(AND($E250="Yes",$G250=""),"NeverSignedIn ","")))</f>
        <v/>
      </c>
      <c r="AI250" s="60" t="n"/>
      <c r="AJ250" s="61" t="n"/>
      <c r="AK250" s="60" t="n"/>
      <c r="AL250" s="62" t="n"/>
      <c r="AM250" s="62" t="n"/>
      <c r="AN250" s="62" t="n"/>
      <c r="AO250" s="60" t="n"/>
      <c r="AP250" s="61" t="n"/>
      <c r="AQ250" s="63">
        <f>IF($A250="","",IF(AM250="","Not Enrolled",IF(TODAY()&gt;AM250,"Review Overdue",IF(AM250-TODAY()&lt;=30,"Review Due Soon","Active"))))</f>
        <v/>
      </c>
      <c r="AR250" s="63">
        <f>IF($A250="","",IF(AN250="","NOT REVIEWED",IF(TODAY()-AN250&gt;90,"OVERDUE",IF(TODAY()-AN250&gt;76,"Due Soon","Current"))))</f>
        <v/>
      </c>
    </row>
    <row r="251" ht="15" customHeight="1" s="39">
      <c r="A251" s="61" t="n"/>
      <c r="B251" s="60" t="n"/>
      <c r="C251" s="61" t="n"/>
      <c r="D251" s="60" t="n"/>
      <c r="E251" s="60" t="n"/>
      <c r="F251" s="62" t="n"/>
      <c r="G251" s="62" t="n"/>
      <c r="H251" s="60" t="n"/>
      <c r="I251" s="60" t="n"/>
      <c r="J251" s="61" t="n"/>
      <c r="K251" s="61" t="n"/>
      <c r="L251" s="61" t="n"/>
      <c r="M251" s="60" t="n"/>
      <c r="N251" s="60" t="n"/>
      <c r="O251" s="60" t="n"/>
      <c r="P251" s="61" t="n"/>
      <c r="Q251" s="60" t="n"/>
      <c r="R251" s="60" t="n"/>
      <c r="S251" s="60" t="n"/>
      <c r="T251" s="61" t="n"/>
      <c r="U251" s="61" t="n"/>
      <c r="V251" s="60" t="n"/>
      <c r="W251" s="60" t="n"/>
      <c r="X251" s="60" t="n"/>
      <c r="Y251" s="60" t="n"/>
      <c r="Z251" s="61" t="n"/>
      <c r="AA251" s="60" t="n"/>
      <c r="AB251" s="60" t="n"/>
      <c r="AC251" s="60" t="n"/>
      <c r="AD251" s="60" t="n"/>
      <c r="AE251" s="63">
        <f>IF($G251="","",TODAY()-$G251)</f>
        <v/>
      </c>
      <c r="AF251" s="63">
        <f>IF($A251="","",IF($M251&gt;0,"Yes","No"))</f>
        <v/>
      </c>
      <c r="AG251" s="63">
        <f>IF($A251="","",IF(AND($E251="Yes",OR($AA251="No",$AA251="NOT FOUND")),"YES",""))</f>
        <v/>
      </c>
      <c r="AH251" s="66">
        <f>IF($A251="","",TRIM(IF(AND($Y251=0,$I251&lt;&gt;"Yes"),"T0-NoPhishResistant ","")&amp;IF($H251="No","NoMFA ","")&amp;IF(AND($Y251=0,$M251&gt;0),"T0-Standing ","")&amp;IF(AND($Y251=0,$S251="Group only"),"T0-ViaGroupOnly ","")&amp;IF($R251="Yes","BroadAzureScope ","")&amp;IF(AND($E251="Yes",$G251=""),"NeverSignedIn ","")))</f>
        <v/>
      </c>
      <c r="AI251" s="60" t="n"/>
      <c r="AJ251" s="61" t="n"/>
      <c r="AK251" s="60" t="n"/>
      <c r="AL251" s="62" t="n"/>
      <c r="AM251" s="62" t="n"/>
      <c r="AN251" s="62" t="n"/>
      <c r="AO251" s="60" t="n"/>
      <c r="AP251" s="61" t="n"/>
      <c r="AQ251" s="63">
        <f>IF($A251="","",IF(AM251="","Not Enrolled",IF(TODAY()&gt;AM251,"Review Overdue",IF(AM251-TODAY()&lt;=30,"Review Due Soon","Active"))))</f>
        <v/>
      </c>
      <c r="AR251" s="63">
        <f>IF($A251="","",IF(AN251="","NOT REVIEWED",IF(TODAY()-AN251&gt;90,"OVERDUE",IF(TODAY()-AN251&gt;76,"Due Soon","Current"))))</f>
        <v/>
      </c>
    </row>
    <row r="252" ht="15" customHeight="1" s="39">
      <c r="A252" s="61" t="n"/>
      <c r="B252" s="60" t="n"/>
      <c r="C252" s="61" t="n"/>
      <c r="D252" s="60" t="n"/>
      <c r="E252" s="60" t="n"/>
      <c r="F252" s="62" t="n"/>
      <c r="G252" s="62" t="n"/>
      <c r="H252" s="60" t="n"/>
      <c r="I252" s="60" t="n"/>
      <c r="J252" s="61" t="n"/>
      <c r="K252" s="61" t="n"/>
      <c r="L252" s="61" t="n"/>
      <c r="M252" s="60" t="n"/>
      <c r="N252" s="60" t="n"/>
      <c r="O252" s="60" t="n"/>
      <c r="P252" s="61" t="n"/>
      <c r="Q252" s="60" t="n"/>
      <c r="R252" s="60" t="n"/>
      <c r="S252" s="60" t="n"/>
      <c r="T252" s="61" t="n"/>
      <c r="U252" s="61" t="n"/>
      <c r="V252" s="60" t="n"/>
      <c r="W252" s="60" t="n"/>
      <c r="X252" s="60" t="n"/>
      <c r="Y252" s="60" t="n"/>
      <c r="Z252" s="61" t="n"/>
      <c r="AA252" s="60" t="n"/>
      <c r="AB252" s="60" t="n"/>
      <c r="AC252" s="60" t="n"/>
      <c r="AD252" s="60" t="n"/>
      <c r="AE252" s="63">
        <f>IF($G252="","",TODAY()-$G252)</f>
        <v/>
      </c>
      <c r="AF252" s="63">
        <f>IF($A252="","",IF($M252&gt;0,"Yes","No"))</f>
        <v/>
      </c>
      <c r="AG252" s="63">
        <f>IF($A252="","",IF(AND($E252="Yes",OR($AA252="No",$AA252="NOT FOUND")),"YES",""))</f>
        <v/>
      </c>
      <c r="AH252" s="66">
        <f>IF($A252="","",TRIM(IF(AND($Y252=0,$I252&lt;&gt;"Yes"),"T0-NoPhishResistant ","")&amp;IF($H252="No","NoMFA ","")&amp;IF(AND($Y252=0,$M252&gt;0),"T0-Standing ","")&amp;IF(AND($Y252=0,$S252="Group only"),"T0-ViaGroupOnly ","")&amp;IF($R252="Yes","BroadAzureScope ","")&amp;IF(AND($E252="Yes",$G252=""),"NeverSignedIn ","")))</f>
        <v/>
      </c>
      <c r="AI252" s="60" t="n"/>
      <c r="AJ252" s="61" t="n"/>
      <c r="AK252" s="60" t="n"/>
      <c r="AL252" s="62" t="n"/>
      <c r="AM252" s="62" t="n"/>
      <c r="AN252" s="62" t="n"/>
      <c r="AO252" s="60" t="n"/>
      <c r="AP252" s="61" t="n"/>
      <c r="AQ252" s="63">
        <f>IF($A252="","",IF(AM252="","Not Enrolled",IF(TODAY()&gt;AM252,"Review Overdue",IF(AM252-TODAY()&lt;=30,"Review Due Soon","Active"))))</f>
        <v/>
      </c>
      <c r="AR252" s="63">
        <f>IF($A252="","",IF(AN252="","NOT REVIEWED",IF(TODAY()-AN252&gt;90,"OVERDUE",IF(TODAY()-AN252&gt;76,"Due Soon","Current"))))</f>
        <v/>
      </c>
    </row>
    <row r="253" ht="15" customHeight="1" s="39">
      <c r="A253" s="61" t="n"/>
      <c r="B253" s="60" t="n"/>
      <c r="C253" s="61" t="n"/>
      <c r="D253" s="60" t="n"/>
      <c r="E253" s="60" t="n"/>
      <c r="F253" s="62" t="n"/>
      <c r="G253" s="62" t="n"/>
      <c r="H253" s="60" t="n"/>
      <c r="I253" s="60" t="n"/>
      <c r="J253" s="61" t="n"/>
      <c r="K253" s="61" t="n"/>
      <c r="L253" s="61" t="n"/>
      <c r="M253" s="60" t="n"/>
      <c r="N253" s="60" t="n"/>
      <c r="O253" s="60" t="n"/>
      <c r="P253" s="61" t="n"/>
      <c r="Q253" s="60" t="n"/>
      <c r="R253" s="60" t="n"/>
      <c r="S253" s="60" t="n"/>
      <c r="T253" s="61" t="n"/>
      <c r="U253" s="61" t="n"/>
      <c r="V253" s="60" t="n"/>
      <c r="W253" s="60" t="n"/>
      <c r="X253" s="60" t="n"/>
      <c r="Y253" s="60" t="n"/>
      <c r="Z253" s="61" t="n"/>
      <c r="AA253" s="60" t="n"/>
      <c r="AB253" s="60" t="n"/>
      <c r="AC253" s="60" t="n"/>
      <c r="AD253" s="60" t="n"/>
      <c r="AE253" s="63">
        <f>IF($G253="","",TODAY()-$G253)</f>
        <v/>
      </c>
      <c r="AF253" s="63">
        <f>IF($A253="","",IF($M253&gt;0,"Yes","No"))</f>
        <v/>
      </c>
      <c r="AG253" s="63">
        <f>IF($A253="","",IF(AND($E253="Yes",OR($AA253="No",$AA253="NOT FOUND")),"YES",""))</f>
        <v/>
      </c>
      <c r="AH253" s="66">
        <f>IF($A253="","",TRIM(IF(AND($Y253=0,$I253&lt;&gt;"Yes"),"T0-NoPhishResistant ","")&amp;IF($H253="No","NoMFA ","")&amp;IF(AND($Y253=0,$M253&gt;0),"T0-Standing ","")&amp;IF(AND($Y253=0,$S253="Group only"),"T0-ViaGroupOnly ","")&amp;IF($R253="Yes","BroadAzureScope ","")&amp;IF(AND($E253="Yes",$G253=""),"NeverSignedIn ","")))</f>
        <v/>
      </c>
      <c r="AI253" s="60" t="n"/>
      <c r="AJ253" s="61" t="n"/>
      <c r="AK253" s="60" t="n"/>
      <c r="AL253" s="62" t="n"/>
      <c r="AM253" s="62" t="n"/>
      <c r="AN253" s="62" t="n"/>
      <c r="AO253" s="60" t="n"/>
      <c r="AP253" s="61" t="n"/>
      <c r="AQ253" s="63">
        <f>IF($A253="","",IF(AM253="","Not Enrolled",IF(TODAY()&gt;AM253,"Review Overdue",IF(AM253-TODAY()&lt;=30,"Review Due Soon","Active"))))</f>
        <v/>
      </c>
      <c r="AR253" s="63">
        <f>IF($A253="","",IF(AN253="","NOT REVIEWED",IF(TODAY()-AN253&gt;90,"OVERDUE",IF(TODAY()-AN253&gt;76,"Due Soon","Current"))))</f>
        <v/>
      </c>
    </row>
    <row r="254" ht="15" customHeight="1" s="39">
      <c r="A254" s="61" t="n"/>
      <c r="B254" s="60" t="n"/>
      <c r="C254" s="61" t="n"/>
      <c r="D254" s="60" t="n"/>
      <c r="E254" s="60" t="n"/>
      <c r="F254" s="62" t="n"/>
      <c r="G254" s="62" t="n"/>
      <c r="H254" s="60" t="n"/>
      <c r="I254" s="60" t="n"/>
      <c r="J254" s="61" t="n"/>
      <c r="K254" s="61" t="n"/>
      <c r="L254" s="61" t="n"/>
      <c r="M254" s="60" t="n"/>
      <c r="N254" s="60" t="n"/>
      <c r="O254" s="60" t="n"/>
      <c r="P254" s="61" t="n"/>
      <c r="Q254" s="60" t="n"/>
      <c r="R254" s="60" t="n"/>
      <c r="S254" s="60" t="n"/>
      <c r="T254" s="61" t="n"/>
      <c r="U254" s="61" t="n"/>
      <c r="V254" s="60" t="n"/>
      <c r="W254" s="60" t="n"/>
      <c r="X254" s="60" t="n"/>
      <c r="Y254" s="60" t="n"/>
      <c r="Z254" s="61" t="n"/>
      <c r="AA254" s="60" t="n"/>
      <c r="AB254" s="60" t="n"/>
      <c r="AC254" s="60" t="n"/>
      <c r="AD254" s="60" t="n"/>
      <c r="AE254" s="63">
        <f>IF($G254="","",TODAY()-$G254)</f>
        <v/>
      </c>
      <c r="AF254" s="63">
        <f>IF($A254="","",IF($M254&gt;0,"Yes","No"))</f>
        <v/>
      </c>
      <c r="AG254" s="63">
        <f>IF($A254="","",IF(AND($E254="Yes",OR($AA254="No",$AA254="NOT FOUND")),"YES",""))</f>
        <v/>
      </c>
      <c r="AH254" s="66">
        <f>IF($A254="","",TRIM(IF(AND($Y254=0,$I254&lt;&gt;"Yes"),"T0-NoPhishResistant ","")&amp;IF($H254="No","NoMFA ","")&amp;IF(AND($Y254=0,$M254&gt;0),"T0-Standing ","")&amp;IF(AND($Y254=0,$S254="Group only"),"T0-ViaGroupOnly ","")&amp;IF($R254="Yes","BroadAzureScope ","")&amp;IF(AND($E254="Yes",$G254=""),"NeverSignedIn ","")))</f>
        <v/>
      </c>
      <c r="AI254" s="60" t="n"/>
      <c r="AJ254" s="61" t="n"/>
      <c r="AK254" s="60" t="n"/>
      <c r="AL254" s="62" t="n"/>
      <c r="AM254" s="62" t="n"/>
      <c r="AN254" s="62" t="n"/>
      <c r="AO254" s="60" t="n"/>
      <c r="AP254" s="61" t="n"/>
      <c r="AQ254" s="63">
        <f>IF($A254="","",IF(AM254="","Not Enrolled",IF(TODAY()&gt;AM254,"Review Overdue",IF(AM254-TODAY()&lt;=30,"Review Due Soon","Active"))))</f>
        <v/>
      </c>
      <c r="AR254" s="63">
        <f>IF($A254="","",IF(AN254="","NOT REVIEWED",IF(TODAY()-AN254&gt;90,"OVERDUE",IF(TODAY()-AN254&gt;76,"Due Soon","Current"))))</f>
        <v/>
      </c>
    </row>
    <row r="255" ht="15" customHeight="1" s="39">
      <c r="A255" s="61" t="n"/>
      <c r="B255" s="60" t="n"/>
      <c r="C255" s="61" t="n"/>
      <c r="D255" s="60" t="n"/>
      <c r="E255" s="60" t="n"/>
      <c r="F255" s="62" t="n"/>
      <c r="G255" s="62" t="n"/>
      <c r="H255" s="60" t="n"/>
      <c r="I255" s="60" t="n"/>
      <c r="J255" s="61" t="n"/>
      <c r="K255" s="61" t="n"/>
      <c r="L255" s="61" t="n"/>
      <c r="M255" s="60" t="n"/>
      <c r="N255" s="60" t="n"/>
      <c r="O255" s="60" t="n"/>
      <c r="P255" s="61" t="n"/>
      <c r="Q255" s="60" t="n"/>
      <c r="R255" s="60" t="n"/>
      <c r="S255" s="60" t="n"/>
      <c r="T255" s="61" t="n"/>
      <c r="U255" s="61" t="n"/>
      <c r="V255" s="60" t="n"/>
      <c r="W255" s="60" t="n"/>
      <c r="X255" s="60" t="n"/>
      <c r="Y255" s="60" t="n"/>
      <c r="Z255" s="61" t="n"/>
      <c r="AA255" s="60" t="n"/>
      <c r="AB255" s="60" t="n"/>
      <c r="AC255" s="60" t="n"/>
      <c r="AD255" s="60" t="n"/>
      <c r="AE255" s="63">
        <f>IF($G255="","",TODAY()-$G255)</f>
        <v/>
      </c>
      <c r="AF255" s="63">
        <f>IF($A255="","",IF($M255&gt;0,"Yes","No"))</f>
        <v/>
      </c>
      <c r="AG255" s="63">
        <f>IF($A255="","",IF(AND($E255="Yes",OR($AA255="No",$AA255="NOT FOUND")),"YES",""))</f>
        <v/>
      </c>
      <c r="AH255" s="66">
        <f>IF($A255="","",TRIM(IF(AND($Y255=0,$I255&lt;&gt;"Yes"),"T0-NoPhishResistant ","")&amp;IF($H255="No","NoMFA ","")&amp;IF(AND($Y255=0,$M255&gt;0),"T0-Standing ","")&amp;IF(AND($Y255=0,$S255="Group only"),"T0-ViaGroupOnly ","")&amp;IF($R255="Yes","BroadAzureScope ","")&amp;IF(AND($E255="Yes",$G255=""),"NeverSignedIn ","")))</f>
        <v/>
      </c>
      <c r="AI255" s="60" t="n"/>
      <c r="AJ255" s="61" t="n"/>
      <c r="AK255" s="60" t="n"/>
      <c r="AL255" s="62" t="n"/>
      <c r="AM255" s="62" t="n"/>
      <c r="AN255" s="62" t="n"/>
      <c r="AO255" s="60" t="n"/>
      <c r="AP255" s="61" t="n"/>
      <c r="AQ255" s="63">
        <f>IF($A255="","",IF(AM255="","Not Enrolled",IF(TODAY()&gt;AM255,"Review Overdue",IF(AM255-TODAY()&lt;=30,"Review Due Soon","Active"))))</f>
        <v/>
      </c>
      <c r="AR255" s="63">
        <f>IF($A255="","",IF(AN255="","NOT REVIEWED",IF(TODAY()-AN255&gt;90,"OVERDUE",IF(TODAY()-AN255&gt;76,"Due Soon","Current"))))</f>
        <v/>
      </c>
    </row>
    <row r="256" ht="15" customHeight="1" s="39">
      <c r="A256" s="61" t="n"/>
      <c r="B256" s="60" t="n"/>
      <c r="C256" s="61" t="n"/>
      <c r="D256" s="60" t="n"/>
      <c r="E256" s="60" t="n"/>
      <c r="F256" s="62" t="n"/>
      <c r="G256" s="62" t="n"/>
      <c r="H256" s="60" t="n"/>
      <c r="I256" s="60" t="n"/>
      <c r="J256" s="61" t="n"/>
      <c r="K256" s="61" t="n"/>
      <c r="L256" s="61" t="n"/>
      <c r="M256" s="60" t="n"/>
      <c r="N256" s="60" t="n"/>
      <c r="O256" s="60" t="n"/>
      <c r="P256" s="61" t="n"/>
      <c r="Q256" s="60" t="n"/>
      <c r="R256" s="60" t="n"/>
      <c r="S256" s="60" t="n"/>
      <c r="T256" s="61" t="n"/>
      <c r="U256" s="61" t="n"/>
      <c r="V256" s="60" t="n"/>
      <c r="W256" s="60" t="n"/>
      <c r="X256" s="60" t="n"/>
      <c r="Y256" s="60" t="n"/>
      <c r="Z256" s="61" t="n"/>
      <c r="AA256" s="60" t="n"/>
      <c r="AB256" s="60" t="n"/>
      <c r="AC256" s="60" t="n"/>
      <c r="AD256" s="60" t="n"/>
      <c r="AE256" s="63">
        <f>IF($G256="","",TODAY()-$G256)</f>
        <v/>
      </c>
      <c r="AF256" s="63">
        <f>IF($A256="","",IF($M256&gt;0,"Yes","No"))</f>
        <v/>
      </c>
      <c r="AG256" s="63">
        <f>IF($A256="","",IF(AND($E256="Yes",OR($AA256="No",$AA256="NOT FOUND")),"YES",""))</f>
        <v/>
      </c>
      <c r="AH256" s="66">
        <f>IF($A256="","",TRIM(IF(AND($Y256=0,$I256&lt;&gt;"Yes"),"T0-NoPhishResistant ","")&amp;IF($H256="No","NoMFA ","")&amp;IF(AND($Y256=0,$M256&gt;0),"T0-Standing ","")&amp;IF(AND($Y256=0,$S256="Group only"),"T0-ViaGroupOnly ","")&amp;IF($R256="Yes","BroadAzureScope ","")&amp;IF(AND($E256="Yes",$G256=""),"NeverSignedIn ","")))</f>
        <v/>
      </c>
      <c r="AI256" s="60" t="n"/>
      <c r="AJ256" s="61" t="n"/>
      <c r="AK256" s="60" t="n"/>
      <c r="AL256" s="62" t="n"/>
      <c r="AM256" s="62" t="n"/>
      <c r="AN256" s="62" t="n"/>
      <c r="AO256" s="60" t="n"/>
      <c r="AP256" s="61" t="n"/>
      <c r="AQ256" s="63">
        <f>IF($A256="","",IF(AM256="","Not Enrolled",IF(TODAY()&gt;AM256,"Review Overdue",IF(AM256-TODAY()&lt;=30,"Review Due Soon","Active"))))</f>
        <v/>
      </c>
      <c r="AR256" s="63">
        <f>IF($A256="","",IF(AN256="","NOT REVIEWED",IF(TODAY()-AN256&gt;90,"OVERDUE",IF(TODAY()-AN256&gt;76,"Due Soon","Current"))))</f>
        <v/>
      </c>
    </row>
    <row r="257" ht="15" customHeight="1" s="39">
      <c r="A257" s="61" t="n"/>
      <c r="B257" s="60" t="n"/>
      <c r="C257" s="61" t="n"/>
      <c r="D257" s="60" t="n"/>
      <c r="E257" s="60" t="n"/>
      <c r="F257" s="62" t="n"/>
      <c r="G257" s="62" t="n"/>
      <c r="H257" s="60" t="n"/>
      <c r="I257" s="60" t="n"/>
      <c r="J257" s="61" t="n"/>
      <c r="K257" s="61" t="n"/>
      <c r="L257" s="61" t="n"/>
      <c r="M257" s="60" t="n"/>
      <c r="N257" s="60" t="n"/>
      <c r="O257" s="60" t="n"/>
      <c r="P257" s="61" t="n"/>
      <c r="Q257" s="60" t="n"/>
      <c r="R257" s="60" t="n"/>
      <c r="S257" s="60" t="n"/>
      <c r="T257" s="61" t="n"/>
      <c r="U257" s="61" t="n"/>
      <c r="V257" s="60" t="n"/>
      <c r="W257" s="60" t="n"/>
      <c r="X257" s="60" t="n"/>
      <c r="Y257" s="60" t="n"/>
      <c r="Z257" s="61" t="n"/>
      <c r="AA257" s="60" t="n"/>
      <c r="AB257" s="60" t="n"/>
      <c r="AC257" s="60" t="n"/>
      <c r="AD257" s="60" t="n"/>
      <c r="AE257" s="63">
        <f>IF($G257="","",TODAY()-$G257)</f>
        <v/>
      </c>
      <c r="AF257" s="63">
        <f>IF($A257="","",IF($M257&gt;0,"Yes","No"))</f>
        <v/>
      </c>
      <c r="AG257" s="63">
        <f>IF($A257="","",IF(AND($E257="Yes",OR($AA257="No",$AA257="NOT FOUND")),"YES",""))</f>
        <v/>
      </c>
      <c r="AH257" s="66">
        <f>IF($A257="","",TRIM(IF(AND($Y257=0,$I257&lt;&gt;"Yes"),"T0-NoPhishResistant ","")&amp;IF($H257="No","NoMFA ","")&amp;IF(AND($Y257=0,$M257&gt;0),"T0-Standing ","")&amp;IF(AND($Y257=0,$S257="Group only"),"T0-ViaGroupOnly ","")&amp;IF($R257="Yes","BroadAzureScope ","")&amp;IF(AND($E257="Yes",$G257=""),"NeverSignedIn ","")))</f>
        <v/>
      </c>
      <c r="AI257" s="60" t="n"/>
      <c r="AJ257" s="61" t="n"/>
      <c r="AK257" s="60" t="n"/>
      <c r="AL257" s="62" t="n"/>
      <c r="AM257" s="62" t="n"/>
      <c r="AN257" s="62" t="n"/>
      <c r="AO257" s="60" t="n"/>
      <c r="AP257" s="61" t="n"/>
      <c r="AQ257" s="63">
        <f>IF($A257="","",IF(AM257="","Not Enrolled",IF(TODAY()&gt;AM257,"Review Overdue",IF(AM257-TODAY()&lt;=30,"Review Due Soon","Active"))))</f>
        <v/>
      </c>
      <c r="AR257" s="63">
        <f>IF($A257="","",IF(AN257="","NOT REVIEWED",IF(TODAY()-AN257&gt;90,"OVERDUE",IF(TODAY()-AN257&gt;76,"Due Soon","Current"))))</f>
        <v/>
      </c>
    </row>
    <row r="258" ht="15" customHeight="1" s="39">
      <c r="A258" s="61" t="n"/>
      <c r="B258" s="60" t="n"/>
      <c r="C258" s="61" t="n"/>
      <c r="D258" s="60" t="n"/>
      <c r="E258" s="60" t="n"/>
      <c r="F258" s="62" t="n"/>
      <c r="G258" s="62" t="n"/>
      <c r="H258" s="60" t="n"/>
      <c r="I258" s="60" t="n"/>
      <c r="J258" s="61" t="n"/>
      <c r="K258" s="61" t="n"/>
      <c r="L258" s="61" t="n"/>
      <c r="M258" s="60" t="n"/>
      <c r="N258" s="60" t="n"/>
      <c r="O258" s="60" t="n"/>
      <c r="P258" s="61" t="n"/>
      <c r="Q258" s="60" t="n"/>
      <c r="R258" s="60" t="n"/>
      <c r="S258" s="60" t="n"/>
      <c r="T258" s="61" t="n"/>
      <c r="U258" s="61" t="n"/>
      <c r="V258" s="60" t="n"/>
      <c r="W258" s="60" t="n"/>
      <c r="X258" s="60" t="n"/>
      <c r="Y258" s="60" t="n"/>
      <c r="Z258" s="61" t="n"/>
      <c r="AA258" s="60" t="n"/>
      <c r="AB258" s="60" t="n"/>
      <c r="AC258" s="60" t="n"/>
      <c r="AD258" s="60" t="n"/>
      <c r="AE258" s="63">
        <f>IF($G258="","",TODAY()-$G258)</f>
        <v/>
      </c>
      <c r="AF258" s="63">
        <f>IF($A258="","",IF($M258&gt;0,"Yes","No"))</f>
        <v/>
      </c>
      <c r="AG258" s="63">
        <f>IF($A258="","",IF(AND($E258="Yes",OR($AA258="No",$AA258="NOT FOUND")),"YES",""))</f>
        <v/>
      </c>
      <c r="AH258" s="66">
        <f>IF($A258="","",TRIM(IF(AND($Y258=0,$I258&lt;&gt;"Yes"),"T0-NoPhishResistant ","")&amp;IF($H258="No","NoMFA ","")&amp;IF(AND($Y258=0,$M258&gt;0),"T0-Standing ","")&amp;IF(AND($Y258=0,$S258="Group only"),"T0-ViaGroupOnly ","")&amp;IF($R258="Yes","BroadAzureScope ","")&amp;IF(AND($E258="Yes",$G258=""),"NeverSignedIn ","")))</f>
        <v/>
      </c>
      <c r="AI258" s="60" t="n"/>
      <c r="AJ258" s="61" t="n"/>
      <c r="AK258" s="60" t="n"/>
      <c r="AL258" s="62" t="n"/>
      <c r="AM258" s="62" t="n"/>
      <c r="AN258" s="62" t="n"/>
      <c r="AO258" s="60" t="n"/>
      <c r="AP258" s="61" t="n"/>
      <c r="AQ258" s="63">
        <f>IF($A258="","",IF(AM258="","Not Enrolled",IF(TODAY()&gt;AM258,"Review Overdue",IF(AM258-TODAY()&lt;=30,"Review Due Soon","Active"))))</f>
        <v/>
      </c>
      <c r="AR258" s="63">
        <f>IF($A258="","",IF(AN258="","NOT REVIEWED",IF(TODAY()-AN258&gt;90,"OVERDUE",IF(TODAY()-AN258&gt;76,"Due Soon","Current"))))</f>
        <v/>
      </c>
    </row>
    <row r="259" ht="15" customHeight="1" s="39">
      <c r="A259" s="61" t="n"/>
      <c r="B259" s="60" t="n"/>
      <c r="C259" s="61" t="n"/>
      <c r="D259" s="60" t="n"/>
      <c r="E259" s="60" t="n"/>
      <c r="F259" s="62" t="n"/>
      <c r="G259" s="62" t="n"/>
      <c r="H259" s="60" t="n"/>
      <c r="I259" s="60" t="n"/>
      <c r="J259" s="61" t="n"/>
      <c r="K259" s="61" t="n"/>
      <c r="L259" s="61" t="n"/>
      <c r="M259" s="60" t="n"/>
      <c r="N259" s="60" t="n"/>
      <c r="O259" s="60" t="n"/>
      <c r="P259" s="61" t="n"/>
      <c r="Q259" s="60" t="n"/>
      <c r="R259" s="60" t="n"/>
      <c r="S259" s="60" t="n"/>
      <c r="T259" s="61" t="n"/>
      <c r="U259" s="61" t="n"/>
      <c r="V259" s="60" t="n"/>
      <c r="W259" s="60" t="n"/>
      <c r="X259" s="60" t="n"/>
      <c r="Y259" s="60" t="n"/>
      <c r="Z259" s="61" t="n"/>
      <c r="AA259" s="60" t="n"/>
      <c r="AB259" s="60" t="n"/>
      <c r="AC259" s="60" t="n"/>
      <c r="AD259" s="60" t="n"/>
      <c r="AE259" s="63">
        <f>IF($G259="","",TODAY()-$G259)</f>
        <v/>
      </c>
      <c r="AF259" s="63">
        <f>IF($A259="","",IF($M259&gt;0,"Yes","No"))</f>
        <v/>
      </c>
      <c r="AG259" s="63">
        <f>IF($A259="","",IF(AND($E259="Yes",OR($AA259="No",$AA259="NOT FOUND")),"YES",""))</f>
        <v/>
      </c>
      <c r="AH259" s="66">
        <f>IF($A259="","",TRIM(IF(AND($Y259=0,$I259&lt;&gt;"Yes"),"T0-NoPhishResistant ","")&amp;IF($H259="No","NoMFA ","")&amp;IF(AND($Y259=0,$M259&gt;0),"T0-Standing ","")&amp;IF(AND($Y259=0,$S259="Group only"),"T0-ViaGroupOnly ","")&amp;IF($R259="Yes","BroadAzureScope ","")&amp;IF(AND($E259="Yes",$G259=""),"NeverSignedIn ","")))</f>
        <v/>
      </c>
      <c r="AI259" s="60" t="n"/>
      <c r="AJ259" s="61" t="n"/>
      <c r="AK259" s="60" t="n"/>
      <c r="AL259" s="62" t="n"/>
      <c r="AM259" s="62" t="n"/>
      <c r="AN259" s="62" t="n"/>
      <c r="AO259" s="60" t="n"/>
      <c r="AP259" s="61" t="n"/>
      <c r="AQ259" s="63">
        <f>IF($A259="","",IF(AM259="","Not Enrolled",IF(TODAY()&gt;AM259,"Review Overdue",IF(AM259-TODAY()&lt;=30,"Review Due Soon","Active"))))</f>
        <v/>
      </c>
      <c r="AR259" s="63">
        <f>IF($A259="","",IF(AN259="","NOT REVIEWED",IF(TODAY()-AN259&gt;90,"OVERDUE",IF(TODAY()-AN259&gt;76,"Due Soon","Current"))))</f>
        <v/>
      </c>
    </row>
    <row r="260" ht="15" customHeight="1" s="39">
      <c r="A260" s="61" t="n"/>
      <c r="B260" s="60" t="n"/>
      <c r="C260" s="61" t="n"/>
      <c r="D260" s="60" t="n"/>
      <c r="E260" s="60" t="n"/>
      <c r="F260" s="62" t="n"/>
      <c r="G260" s="62" t="n"/>
      <c r="H260" s="60" t="n"/>
      <c r="I260" s="60" t="n"/>
      <c r="J260" s="61" t="n"/>
      <c r="K260" s="61" t="n"/>
      <c r="L260" s="61" t="n"/>
      <c r="M260" s="60" t="n"/>
      <c r="N260" s="60" t="n"/>
      <c r="O260" s="60" t="n"/>
      <c r="P260" s="61" t="n"/>
      <c r="Q260" s="60" t="n"/>
      <c r="R260" s="60" t="n"/>
      <c r="S260" s="60" t="n"/>
      <c r="T260" s="61" t="n"/>
      <c r="U260" s="61" t="n"/>
      <c r="V260" s="60" t="n"/>
      <c r="W260" s="60" t="n"/>
      <c r="X260" s="60" t="n"/>
      <c r="Y260" s="60" t="n"/>
      <c r="Z260" s="61" t="n"/>
      <c r="AA260" s="60" t="n"/>
      <c r="AB260" s="60" t="n"/>
      <c r="AC260" s="60" t="n"/>
      <c r="AD260" s="60" t="n"/>
      <c r="AE260" s="63">
        <f>IF($G260="","",TODAY()-$G260)</f>
        <v/>
      </c>
      <c r="AF260" s="63">
        <f>IF($A260="","",IF($M260&gt;0,"Yes","No"))</f>
        <v/>
      </c>
      <c r="AG260" s="63">
        <f>IF($A260="","",IF(AND($E260="Yes",OR($AA260="No",$AA260="NOT FOUND")),"YES",""))</f>
        <v/>
      </c>
      <c r="AH260" s="66">
        <f>IF($A260="","",TRIM(IF(AND($Y260=0,$I260&lt;&gt;"Yes"),"T0-NoPhishResistant ","")&amp;IF($H260="No","NoMFA ","")&amp;IF(AND($Y260=0,$M260&gt;0),"T0-Standing ","")&amp;IF(AND($Y260=0,$S260="Group only"),"T0-ViaGroupOnly ","")&amp;IF($R260="Yes","BroadAzureScope ","")&amp;IF(AND($E260="Yes",$G260=""),"NeverSignedIn ","")))</f>
        <v/>
      </c>
      <c r="AI260" s="60" t="n"/>
      <c r="AJ260" s="61" t="n"/>
      <c r="AK260" s="60" t="n"/>
      <c r="AL260" s="62" t="n"/>
      <c r="AM260" s="62" t="n"/>
      <c r="AN260" s="62" t="n"/>
      <c r="AO260" s="60" t="n"/>
      <c r="AP260" s="61" t="n"/>
      <c r="AQ260" s="63">
        <f>IF($A260="","",IF(AM260="","Not Enrolled",IF(TODAY()&gt;AM260,"Review Overdue",IF(AM260-TODAY()&lt;=30,"Review Due Soon","Active"))))</f>
        <v/>
      </c>
      <c r="AR260" s="63">
        <f>IF($A260="","",IF(AN260="","NOT REVIEWED",IF(TODAY()-AN260&gt;90,"OVERDUE",IF(TODAY()-AN260&gt;76,"Due Soon","Current"))))</f>
        <v/>
      </c>
    </row>
    <row r="261" ht="15" customHeight="1" s="39">
      <c r="A261" s="61" t="n"/>
      <c r="B261" s="60" t="n"/>
      <c r="C261" s="61" t="n"/>
      <c r="D261" s="60" t="n"/>
      <c r="E261" s="60" t="n"/>
      <c r="F261" s="62" t="n"/>
      <c r="G261" s="62" t="n"/>
      <c r="H261" s="60" t="n"/>
      <c r="I261" s="60" t="n"/>
      <c r="J261" s="61" t="n"/>
      <c r="K261" s="61" t="n"/>
      <c r="L261" s="61" t="n"/>
      <c r="M261" s="60" t="n"/>
      <c r="N261" s="60" t="n"/>
      <c r="O261" s="60" t="n"/>
      <c r="P261" s="61" t="n"/>
      <c r="Q261" s="60" t="n"/>
      <c r="R261" s="60" t="n"/>
      <c r="S261" s="60" t="n"/>
      <c r="T261" s="61" t="n"/>
      <c r="U261" s="61" t="n"/>
      <c r="V261" s="60" t="n"/>
      <c r="W261" s="60" t="n"/>
      <c r="X261" s="60" t="n"/>
      <c r="Y261" s="60" t="n"/>
      <c r="Z261" s="61" t="n"/>
      <c r="AA261" s="60" t="n"/>
      <c r="AB261" s="60" t="n"/>
      <c r="AC261" s="60" t="n"/>
      <c r="AD261" s="60" t="n"/>
      <c r="AE261" s="63">
        <f>IF($G261="","",TODAY()-$G261)</f>
        <v/>
      </c>
      <c r="AF261" s="63">
        <f>IF($A261="","",IF($M261&gt;0,"Yes","No"))</f>
        <v/>
      </c>
      <c r="AG261" s="63">
        <f>IF($A261="","",IF(AND($E261="Yes",OR($AA261="No",$AA261="NOT FOUND")),"YES",""))</f>
        <v/>
      </c>
      <c r="AH261" s="66">
        <f>IF($A261="","",TRIM(IF(AND($Y261=0,$I261&lt;&gt;"Yes"),"T0-NoPhishResistant ","")&amp;IF($H261="No","NoMFA ","")&amp;IF(AND($Y261=0,$M261&gt;0),"T0-Standing ","")&amp;IF(AND($Y261=0,$S261="Group only"),"T0-ViaGroupOnly ","")&amp;IF($R261="Yes","BroadAzureScope ","")&amp;IF(AND($E261="Yes",$G261=""),"NeverSignedIn ","")))</f>
        <v/>
      </c>
      <c r="AI261" s="60" t="n"/>
      <c r="AJ261" s="61" t="n"/>
      <c r="AK261" s="60" t="n"/>
      <c r="AL261" s="62" t="n"/>
      <c r="AM261" s="62" t="n"/>
      <c r="AN261" s="62" t="n"/>
      <c r="AO261" s="60" t="n"/>
      <c r="AP261" s="61" t="n"/>
      <c r="AQ261" s="63">
        <f>IF($A261="","",IF(AM261="","Not Enrolled",IF(TODAY()&gt;AM261,"Review Overdue",IF(AM261-TODAY()&lt;=30,"Review Due Soon","Active"))))</f>
        <v/>
      </c>
      <c r="AR261" s="63">
        <f>IF($A261="","",IF(AN261="","NOT REVIEWED",IF(TODAY()-AN261&gt;90,"OVERDUE",IF(TODAY()-AN261&gt;76,"Due Soon","Current"))))</f>
        <v/>
      </c>
    </row>
    <row r="262" ht="15" customHeight="1" s="39">
      <c r="A262" s="61" t="n"/>
      <c r="B262" s="60" t="n"/>
      <c r="C262" s="61" t="n"/>
      <c r="D262" s="60" t="n"/>
      <c r="E262" s="60" t="n"/>
      <c r="F262" s="62" t="n"/>
      <c r="G262" s="62" t="n"/>
      <c r="H262" s="60" t="n"/>
      <c r="I262" s="60" t="n"/>
      <c r="J262" s="61" t="n"/>
      <c r="K262" s="61" t="n"/>
      <c r="L262" s="61" t="n"/>
      <c r="M262" s="60" t="n"/>
      <c r="N262" s="60" t="n"/>
      <c r="O262" s="60" t="n"/>
      <c r="P262" s="61" t="n"/>
      <c r="Q262" s="60" t="n"/>
      <c r="R262" s="60" t="n"/>
      <c r="S262" s="60" t="n"/>
      <c r="T262" s="61" t="n"/>
      <c r="U262" s="61" t="n"/>
      <c r="V262" s="60" t="n"/>
      <c r="W262" s="60" t="n"/>
      <c r="X262" s="60" t="n"/>
      <c r="Y262" s="60" t="n"/>
      <c r="Z262" s="61" t="n"/>
      <c r="AA262" s="60" t="n"/>
      <c r="AB262" s="60" t="n"/>
      <c r="AC262" s="60" t="n"/>
      <c r="AD262" s="60" t="n"/>
      <c r="AE262" s="63">
        <f>IF($G262="","",TODAY()-$G262)</f>
        <v/>
      </c>
      <c r="AF262" s="63">
        <f>IF($A262="","",IF($M262&gt;0,"Yes","No"))</f>
        <v/>
      </c>
      <c r="AG262" s="63">
        <f>IF($A262="","",IF(AND($E262="Yes",OR($AA262="No",$AA262="NOT FOUND")),"YES",""))</f>
        <v/>
      </c>
      <c r="AH262" s="66">
        <f>IF($A262="","",TRIM(IF(AND($Y262=0,$I262&lt;&gt;"Yes"),"T0-NoPhishResistant ","")&amp;IF($H262="No","NoMFA ","")&amp;IF(AND($Y262=0,$M262&gt;0),"T0-Standing ","")&amp;IF(AND($Y262=0,$S262="Group only"),"T0-ViaGroupOnly ","")&amp;IF($R262="Yes","BroadAzureScope ","")&amp;IF(AND($E262="Yes",$G262=""),"NeverSignedIn ","")))</f>
        <v/>
      </c>
      <c r="AI262" s="60" t="n"/>
      <c r="AJ262" s="61" t="n"/>
      <c r="AK262" s="60" t="n"/>
      <c r="AL262" s="62" t="n"/>
      <c r="AM262" s="62" t="n"/>
      <c r="AN262" s="62" t="n"/>
      <c r="AO262" s="60" t="n"/>
      <c r="AP262" s="61" t="n"/>
      <c r="AQ262" s="63">
        <f>IF($A262="","",IF(AM262="","Not Enrolled",IF(TODAY()&gt;AM262,"Review Overdue",IF(AM262-TODAY()&lt;=30,"Review Due Soon","Active"))))</f>
        <v/>
      </c>
      <c r="AR262" s="63">
        <f>IF($A262="","",IF(AN262="","NOT REVIEWED",IF(TODAY()-AN262&gt;90,"OVERDUE",IF(TODAY()-AN262&gt;76,"Due Soon","Current"))))</f>
        <v/>
      </c>
    </row>
    <row r="263" ht="15" customHeight="1" s="39">
      <c r="A263" s="61" t="n"/>
      <c r="B263" s="60" t="n"/>
      <c r="C263" s="61" t="n"/>
      <c r="D263" s="60" t="n"/>
      <c r="E263" s="60" t="n"/>
      <c r="F263" s="62" t="n"/>
      <c r="G263" s="62" t="n"/>
      <c r="H263" s="60" t="n"/>
      <c r="I263" s="60" t="n"/>
      <c r="J263" s="61" t="n"/>
      <c r="K263" s="61" t="n"/>
      <c r="L263" s="61" t="n"/>
      <c r="M263" s="60" t="n"/>
      <c r="N263" s="60" t="n"/>
      <c r="O263" s="60" t="n"/>
      <c r="P263" s="61" t="n"/>
      <c r="Q263" s="60" t="n"/>
      <c r="R263" s="60" t="n"/>
      <c r="S263" s="60" t="n"/>
      <c r="T263" s="61" t="n"/>
      <c r="U263" s="61" t="n"/>
      <c r="V263" s="60" t="n"/>
      <c r="W263" s="60" t="n"/>
      <c r="X263" s="60" t="n"/>
      <c r="Y263" s="60" t="n"/>
      <c r="Z263" s="61" t="n"/>
      <c r="AA263" s="60" t="n"/>
      <c r="AB263" s="60" t="n"/>
      <c r="AC263" s="60" t="n"/>
      <c r="AD263" s="60" t="n"/>
      <c r="AE263" s="63">
        <f>IF($G263="","",TODAY()-$G263)</f>
        <v/>
      </c>
      <c r="AF263" s="63">
        <f>IF($A263="","",IF($M263&gt;0,"Yes","No"))</f>
        <v/>
      </c>
      <c r="AG263" s="63">
        <f>IF($A263="","",IF(AND($E263="Yes",OR($AA263="No",$AA263="NOT FOUND")),"YES",""))</f>
        <v/>
      </c>
      <c r="AH263" s="66">
        <f>IF($A263="","",TRIM(IF(AND($Y263=0,$I263&lt;&gt;"Yes"),"T0-NoPhishResistant ","")&amp;IF($H263="No","NoMFA ","")&amp;IF(AND($Y263=0,$M263&gt;0),"T0-Standing ","")&amp;IF(AND($Y263=0,$S263="Group only"),"T0-ViaGroupOnly ","")&amp;IF($R263="Yes","BroadAzureScope ","")&amp;IF(AND($E263="Yes",$G263=""),"NeverSignedIn ","")))</f>
        <v/>
      </c>
      <c r="AI263" s="60" t="n"/>
      <c r="AJ263" s="61" t="n"/>
      <c r="AK263" s="60" t="n"/>
      <c r="AL263" s="62" t="n"/>
      <c r="AM263" s="62" t="n"/>
      <c r="AN263" s="62" t="n"/>
      <c r="AO263" s="60" t="n"/>
      <c r="AP263" s="61" t="n"/>
      <c r="AQ263" s="63">
        <f>IF($A263="","",IF(AM263="","Not Enrolled",IF(TODAY()&gt;AM263,"Review Overdue",IF(AM263-TODAY()&lt;=30,"Review Due Soon","Active"))))</f>
        <v/>
      </c>
      <c r="AR263" s="63">
        <f>IF($A263="","",IF(AN263="","NOT REVIEWED",IF(TODAY()-AN263&gt;90,"OVERDUE",IF(TODAY()-AN263&gt;76,"Due Soon","Current"))))</f>
        <v/>
      </c>
    </row>
    <row r="264" ht="15" customHeight="1" s="39">
      <c r="A264" s="61" t="n"/>
      <c r="B264" s="60" t="n"/>
      <c r="C264" s="61" t="n"/>
      <c r="D264" s="60" t="n"/>
      <c r="E264" s="60" t="n"/>
      <c r="F264" s="62" t="n"/>
      <c r="G264" s="62" t="n"/>
      <c r="H264" s="60" t="n"/>
      <c r="I264" s="60" t="n"/>
      <c r="J264" s="61" t="n"/>
      <c r="K264" s="61" t="n"/>
      <c r="L264" s="61" t="n"/>
      <c r="M264" s="60" t="n"/>
      <c r="N264" s="60" t="n"/>
      <c r="O264" s="60" t="n"/>
      <c r="P264" s="61" t="n"/>
      <c r="Q264" s="60" t="n"/>
      <c r="R264" s="60" t="n"/>
      <c r="S264" s="60" t="n"/>
      <c r="T264" s="61" t="n"/>
      <c r="U264" s="61" t="n"/>
      <c r="V264" s="60" t="n"/>
      <c r="W264" s="60" t="n"/>
      <c r="X264" s="60" t="n"/>
      <c r="Y264" s="60" t="n"/>
      <c r="Z264" s="61" t="n"/>
      <c r="AA264" s="60" t="n"/>
      <c r="AB264" s="60" t="n"/>
      <c r="AC264" s="60" t="n"/>
      <c r="AD264" s="60" t="n"/>
      <c r="AE264" s="63">
        <f>IF($G264="","",TODAY()-$G264)</f>
        <v/>
      </c>
      <c r="AF264" s="63">
        <f>IF($A264="","",IF($M264&gt;0,"Yes","No"))</f>
        <v/>
      </c>
      <c r="AG264" s="63">
        <f>IF($A264="","",IF(AND($E264="Yes",OR($AA264="No",$AA264="NOT FOUND")),"YES",""))</f>
        <v/>
      </c>
      <c r="AH264" s="66">
        <f>IF($A264="","",TRIM(IF(AND($Y264=0,$I264&lt;&gt;"Yes"),"T0-NoPhishResistant ","")&amp;IF($H264="No","NoMFA ","")&amp;IF(AND($Y264=0,$M264&gt;0),"T0-Standing ","")&amp;IF(AND($Y264=0,$S264="Group only"),"T0-ViaGroupOnly ","")&amp;IF($R264="Yes","BroadAzureScope ","")&amp;IF(AND($E264="Yes",$G264=""),"NeverSignedIn ","")))</f>
        <v/>
      </c>
      <c r="AI264" s="60" t="n"/>
      <c r="AJ264" s="61" t="n"/>
      <c r="AK264" s="60" t="n"/>
      <c r="AL264" s="62" t="n"/>
      <c r="AM264" s="62" t="n"/>
      <c r="AN264" s="62" t="n"/>
      <c r="AO264" s="60" t="n"/>
      <c r="AP264" s="61" t="n"/>
      <c r="AQ264" s="63">
        <f>IF($A264="","",IF(AM264="","Not Enrolled",IF(TODAY()&gt;AM264,"Review Overdue",IF(AM264-TODAY()&lt;=30,"Review Due Soon","Active"))))</f>
        <v/>
      </c>
      <c r="AR264" s="63">
        <f>IF($A264="","",IF(AN264="","NOT REVIEWED",IF(TODAY()-AN264&gt;90,"OVERDUE",IF(TODAY()-AN264&gt;76,"Due Soon","Current"))))</f>
        <v/>
      </c>
    </row>
    <row r="265" ht="15" customHeight="1" s="39">
      <c r="A265" s="61" t="n"/>
      <c r="B265" s="60" t="n"/>
      <c r="C265" s="61" t="n"/>
      <c r="D265" s="60" t="n"/>
      <c r="E265" s="60" t="n"/>
      <c r="F265" s="62" t="n"/>
      <c r="G265" s="62" t="n"/>
      <c r="H265" s="60" t="n"/>
      <c r="I265" s="60" t="n"/>
      <c r="J265" s="61" t="n"/>
      <c r="K265" s="61" t="n"/>
      <c r="L265" s="61" t="n"/>
      <c r="M265" s="60" t="n"/>
      <c r="N265" s="60" t="n"/>
      <c r="O265" s="60" t="n"/>
      <c r="P265" s="61" t="n"/>
      <c r="Q265" s="60" t="n"/>
      <c r="R265" s="60" t="n"/>
      <c r="S265" s="60" t="n"/>
      <c r="T265" s="61" t="n"/>
      <c r="U265" s="61" t="n"/>
      <c r="V265" s="60" t="n"/>
      <c r="W265" s="60" t="n"/>
      <c r="X265" s="60" t="n"/>
      <c r="Y265" s="60" t="n"/>
      <c r="Z265" s="61" t="n"/>
      <c r="AA265" s="60" t="n"/>
      <c r="AB265" s="60" t="n"/>
      <c r="AC265" s="60" t="n"/>
      <c r="AD265" s="60" t="n"/>
      <c r="AE265" s="63">
        <f>IF($G265="","",TODAY()-$G265)</f>
        <v/>
      </c>
      <c r="AF265" s="63">
        <f>IF($A265="","",IF($M265&gt;0,"Yes","No"))</f>
        <v/>
      </c>
      <c r="AG265" s="63">
        <f>IF($A265="","",IF(AND($E265="Yes",OR($AA265="No",$AA265="NOT FOUND")),"YES",""))</f>
        <v/>
      </c>
      <c r="AH265" s="66">
        <f>IF($A265="","",TRIM(IF(AND($Y265=0,$I265&lt;&gt;"Yes"),"T0-NoPhishResistant ","")&amp;IF($H265="No","NoMFA ","")&amp;IF(AND($Y265=0,$M265&gt;0),"T0-Standing ","")&amp;IF(AND($Y265=0,$S265="Group only"),"T0-ViaGroupOnly ","")&amp;IF($R265="Yes","BroadAzureScope ","")&amp;IF(AND($E265="Yes",$G265=""),"NeverSignedIn ","")))</f>
        <v/>
      </c>
      <c r="AI265" s="60" t="n"/>
      <c r="AJ265" s="61" t="n"/>
      <c r="AK265" s="60" t="n"/>
      <c r="AL265" s="62" t="n"/>
      <c r="AM265" s="62" t="n"/>
      <c r="AN265" s="62" t="n"/>
      <c r="AO265" s="60" t="n"/>
      <c r="AP265" s="61" t="n"/>
      <c r="AQ265" s="63">
        <f>IF($A265="","",IF(AM265="","Not Enrolled",IF(TODAY()&gt;AM265,"Review Overdue",IF(AM265-TODAY()&lt;=30,"Review Due Soon","Active"))))</f>
        <v/>
      </c>
      <c r="AR265" s="63">
        <f>IF($A265="","",IF(AN265="","NOT REVIEWED",IF(TODAY()-AN265&gt;90,"OVERDUE",IF(TODAY()-AN265&gt;76,"Due Soon","Current"))))</f>
        <v/>
      </c>
    </row>
    <row r="266" ht="15" customHeight="1" s="39">
      <c r="A266" s="61" t="n"/>
      <c r="B266" s="60" t="n"/>
      <c r="C266" s="61" t="n"/>
      <c r="D266" s="60" t="n"/>
      <c r="E266" s="60" t="n"/>
      <c r="F266" s="62" t="n"/>
      <c r="G266" s="62" t="n"/>
      <c r="H266" s="60" t="n"/>
      <c r="I266" s="60" t="n"/>
      <c r="J266" s="61" t="n"/>
      <c r="K266" s="61" t="n"/>
      <c r="L266" s="61" t="n"/>
      <c r="M266" s="60" t="n"/>
      <c r="N266" s="60" t="n"/>
      <c r="O266" s="60" t="n"/>
      <c r="P266" s="61" t="n"/>
      <c r="Q266" s="60" t="n"/>
      <c r="R266" s="60" t="n"/>
      <c r="S266" s="60" t="n"/>
      <c r="T266" s="61" t="n"/>
      <c r="U266" s="61" t="n"/>
      <c r="V266" s="60" t="n"/>
      <c r="W266" s="60" t="n"/>
      <c r="X266" s="60" t="n"/>
      <c r="Y266" s="60" t="n"/>
      <c r="Z266" s="61" t="n"/>
      <c r="AA266" s="60" t="n"/>
      <c r="AB266" s="60" t="n"/>
      <c r="AC266" s="60" t="n"/>
      <c r="AD266" s="60" t="n"/>
      <c r="AE266" s="63">
        <f>IF($G266="","",TODAY()-$G266)</f>
        <v/>
      </c>
      <c r="AF266" s="63">
        <f>IF($A266="","",IF($M266&gt;0,"Yes","No"))</f>
        <v/>
      </c>
      <c r="AG266" s="63">
        <f>IF($A266="","",IF(AND($E266="Yes",OR($AA266="No",$AA266="NOT FOUND")),"YES",""))</f>
        <v/>
      </c>
      <c r="AH266" s="66">
        <f>IF($A266="","",TRIM(IF(AND($Y266=0,$I266&lt;&gt;"Yes"),"T0-NoPhishResistant ","")&amp;IF($H266="No","NoMFA ","")&amp;IF(AND($Y266=0,$M266&gt;0),"T0-Standing ","")&amp;IF(AND($Y266=0,$S266="Group only"),"T0-ViaGroupOnly ","")&amp;IF($R266="Yes","BroadAzureScope ","")&amp;IF(AND($E266="Yes",$G266=""),"NeverSignedIn ","")))</f>
        <v/>
      </c>
      <c r="AI266" s="60" t="n"/>
      <c r="AJ266" s="61" t="n"/>
      <c r="AK266" s="60" t="n"/>
      <c r="AL266" s="62" t="n"/>
      <c r="AM266" s="62" t="n"/>
      <c r="AN266" s="62" t="n"/>
      <c r="AO266" s="60" t="n"/>
      <c r="AP266" s="61" t="n"/>
      <c r="AQ266" s="63">
        <f>IF($A266="","",IF(AM266="","Not Enrolled",IF(TODAY()&gt;AM266,"Review Overdue",IF(AM266-TODAY()&lt;=30,"Review Due Soon","Active"))))</f>
        <v/>
      </c>
      <c r="AR266" s="63">
        <f>IF($A266="","",IF(AN266="","NOT REVIEWED",IF(TODAY()-AN266&gt;90,"OVERDUE",IF(TODAY()-AN266&gt;76,"Due Soon","Current"))))</f>
        <v/>
      </c>
    </row>
    <row r="267" ht="15" customHeight="1" s="39">
      <c r="A267" s="61" t="n"/>
      <c r="B267" s="60" t="n"/>
      <c r="C267" s="61" t="n"/>
      <c r="D267" s="60" t="n"/>
      <c r="E267" s="60" t="n"/>
      <c r="F267" s="62" t="n"/>
      <c r="G267" s="62" t="n"/>
      <c r="H267" s="60" t="n"/>
      <c r="I267" s="60" t="n"/>
      <c r="J267" s="61" t="n"/>
      <c r="K267" s="61" t="n"/>
      <c r="L267" s="61" t="n"/>
      <c r="M267" s="60" t="n"/>
      <c r="N267" s="60" t="n"/>
      <c r="O267" s="60" t="n"/>
      <c r="P267" s="61" t="n"/>
      <c r="Q267" s="60" t="n"/>
      <c r="R267" s="60" t="n"/>
      <c r="S267" s="60" t="n"/>
      <c r="T267" s="61" t="n"/>
      <c r="U267" s="61" t="n"/>
      <c r="V267" s="60" t="n"/>
      <c r="W267" s="60" t="n"/>
      <c r="X267" s="60" t="n"/>
      <c r="Y267" s="60" t="n"/>
      <c r="Z267" s="61" t="n"/>
      <c r="AA267" s="60" t="n"/>
      <c r="AB267" s="60" t="n"/>
      <c r="AC267" s="60" t="n"/>
      <c r="AD267" s="60" t="n"/>
      <c r="AE267" s="63">
        <f>IF($G267="","",TODAY()-$G267)</f>
        <v/>
      </c>
      <c r="AF267" s="63">
        <f>IF($A267="","",IF($M267&gt;0,"Yes","No"))</f>
        <v/>
      </c>
      <c r="AG267" s="63">
        <f>IF($A267="","",IF(AND($E267="Yes",OR($AA267="No",$AA267="NOT FOUND")),"YES",""))</f>
        <v/>
      </c>
      <c r="AH267" s="66">
        <f>IF($A267="","",TRIM(IF(AND($Y267=0,$I267&lt;&gt;"Yes"),"T0-NoPhishResistant ","")&amp;IF($H267="No","NoMFA ","")&amp;IF(AND($Y267=0,$M267&gt;0),"T0-Standing ","")&amp;IF(AND($Y267=0,$S267="Group only"),"T0-ViaGroupOnly ","")&amp;IF($R267="Yes","BroadAzureScope ","")&amp;IF(AND($E267="Yes",$G267=""),"NeverSignedIn ","")))</f>
        <v/>
      </c>
      <c r="AI267" s="60" t="n"/>
      <c r="AJ267" s="61" t="n"/>
      <c r="AK267" s="60" t="n"/>
      <c r="AL267" s="62" t="n"/>
      <c r="AM267" s="62" t="n"/>
      <c r="AN267" s="62" t="n"/>
      <c r="AO267" s="60" t="n"/>
      <c r="AP267" s="61" t="n"/>
      <c r="AQ267" s="63">
        <f>IF($A267="","",IF(AM267="","Not Enrolled",IF(TODAY()&gt;AM267,"Review Overdue",IF(AM267-TODAY()&lt;=30,"Review Due Soon","Active"))))</f>
        <v/>
      </c>
      <c r="AR267" s="63">
        <f>IF($A267="","",IF(AN267="","NOT REVIEWED",IF(TODAY()-AN267&gt;90,"OVERDUE",IF(TODAY()-AN267&gt;76,"Due Soon","Current"))))</f>
        <v/>
      </c>
    </row>
    <row r="268" ht="15" customHeight="1" s="39">
      <c r="A268" s="61" t="n"/>
      <c r="B268" s="60" t="n"/>
      <c r="C268" s="61" t="n"/>
      <c r="D268" s="60" t="n"/>
      <c r="E268" s="60" t="n"/>
      <c r="F268" s="62" t="n"/>
      <c r="G268" s="62" t="n"/>
      <c r="H268" s="60" t="n"/>
      <c r="I268" s="60" t="n"/>
      <c r="J268" s="61" t="n"/>
      <c r="K268" s="61" t="n"/>
      <c r="L268" s="61" t="n"/>
      <c r="M268" s="60" t="n"/>
      <c r="N268" s="60" t="n"/>
      <c r="O268" s="60" t="n"/>
      <c r="P268" s="61" t="n"/>
      <c r="Q268" s="60" t="n"/>
      <c r="R268" s="60" t="n"/>
      <c r="S268" s="60" t="n"/>
      <c r="T268" s="61" t="n"/>
      <c r="U268" s="61" t="n"/>
      <c r="V268" s="60" t="n"/>
      <c r="W268" s="60" t="n"/>
      <c r="X268" s="60" t="n"/>
      <c r="Y268" s="60" t="n"/>
      <c r="Z268" s="61" t="n"/>
      <c r="AA268" s="60" t="n"/>
      <c r="AB268" s="60" t="n"/>
      <c r="AC268" s="60" t="n"/>
      <c r="AD268" s="60" t="n"/>
      <c r="AE268" s="63">
        <f>IF($G268="","",TODAY()-$G268)</f>
        <v/>
      </c>
      <c r="AF268" s="63">
        <f>IF($A268="","",IF($M268&gt;0,"Yes","No"))</f>
        <v/>
      </c>
      <c r="AG268" s="63">
        <f>IF($A268="","",IF(AND($E268="Yes",OR($AA268="No",$AA268="NOT FOUND")),"YES",""))</f>
        <v/>
      </c>
      <c r="AH268" s="66">
        <f>IF($A268="","",TRIM(IF(AND($Y268=0,$I268&lt;&gt;"Yes"),"T0-NoPhishResistant ","")&amp;IF($H268="No","NoMFA ","")&amp;IF(AND($Y268=0,$M268&gt;0),"T0-Standing ","")&amp;IF(AND($Y268=0,$S268="Group only"),"T0-ViaGroupOnly ","")&amp;IF($R268="Yes","BroadAzureScope ","")&amp;IF(AND($E268="Yes",$G268=""),"NeverSignedIn ","")))</f>
        <v/>
      </c>
      <c r="AI268" s="60" t="n"/>
      <c r="AJ268" s="61" t="n"/>
      <c r="AK268" s="60" t="n"/>
      <c r="AL268" s="62" t="n"/>
      <c r="AM268" s="62" t="n"/>
      <c r="AN268" s="62" t="n"/>
      <c r="AO268" s="60" t="n"/>
      <c r="AP268" s="61" t="n"/>
      <c r="AQ268" s="63">
        <f>IF($A268="","",IF(AM268="","Not Enrolled",IF(TODAY()&gt;AM268,"Review Overdue",IF(AM268-TODAY()&lt;=30,"Review Due Soon","Active"))))</f>
        <v/>
      </c>
      <c r="AR268" s="63">
        <f>IF($A268="","",IF(AN268="","NOT REVIEWED",IF(TODAY()-AN268&gt;90,"OVERDUE",IF(TODAY()-AN268&gt;76,"Due Soon","Current"))))</f>
        <v/>
      </c>
    </row>
    <row r="269" ht="15" customHeight="1" s="39">
      <c r="A269" s="61" t="n"/>
      <c r="B269" s="60" t="n"/>
      <c r="C269" s="61" t="n"/>
      <c r="D269" s="60" t="n"/>
      <c r="E269" s="60" t="n"/>
      <c r="F269" s="62" t="n"/>
      <c r="G269" s="62" t="n"/>
      <c r="H269" s="60" t="n"/>
      <c r="I269" s="60" t="n"/>
      <c r="J269" s="61" t="n"/>
      <c r="K269" s="61" t="n"/>
      <c r="L269" s="61" t="n"/>
      <c r="M269" s="60" t="n"/>
      <c r="N269" s="60" t="n"/>
      <c r="O269" s="60" t="n"/>
      <c r="P269" s="61" t="n"/>
      <c r="Q269" s="60" t="n"/>
      <c r="R269" s="60" t="n"/>
      <c r="S269" s="60" t="n"/>
      <c r="T269" s="61" t="n"/>
      <c r="U269" s="61" t="n"/>
      <c r="V269" s="60" t="n"/>
      <c r="W269" s="60" t="n"/>
      <c r="X269" s="60" t="n"/>
      <c r="Y269" s="60" t="n"/>
      <c r="Z269" s="61" t="n"/>
      <c r="AA269" s="60" t="n"/>
      <c r="AB269" s="60" t="n"/>
      <c r="AC269" s="60" t="n"/>
      <c r="AD269" s="60" t="n"/>
      <c r="AE269" s="63">
        <f>IF($G269="","",TODAY()-$G269)</f>
        <v/>
      </c>
      <c r="AF269" s="63">
        <f>IF($A269="","",IF($M269&gt;0,"Yes","No"))</f>
        <v/>
      </c>
      <c r="AG269" s="63">
        <f>IF($A269="","",IF(AND($E269="Yes",OR($AA269="No",$AA269="NOT FOUND")),"YES",""))</f>
        <v/>
      </c>
      <c r="AH269" s="66">
        <f>IF($A269="","",TRIM(IF(AND($Y269=0,$I269&lt;&gt;"Yes"),"T0-NoPhishResistant ","")&amp;IF($H269="No","NoMFA ","")&amp;IF(AND($Y269=0,$M269&gt;0),"T0-Standing ","")&amp;IF(AND($Y269=0,$S269="Group only"),"T0-ViaGroupOnly ","")&amp;IF($R269="Yes","BroadAzureScope ","")&amp;IF(AND($E269="Yes",$G269=""),"NeverSignedIn ","")))</f>
        <v/>
      </c>
      <c r="AI269" s="60" t="n"/>
      <c r="AJ269" s="61" t="n"/>
      <c r="AK269" s="60" t="n"/>
      <c r="AL269" s="62" t="n"/>
      <c r="AM269" s="62" t="n"/>
      <c r="AN269" s="62" t="n"/>
      <c r="AO269" s="60" t="n"/>
      <c r="AP269" s="61" t="n"/>
      <c r="AQ269" s="63">
        <f>IF($A269="","",IF(AM269="","Not Enrolled",IF(TODAY()&gt;AM269,"Review Overdue",IF(AM269-TODAY()&lt;=30,"Review Due Soon","Active"))))</f>
        <v/>
      </c>
      <c r="AR269" s="63">
        <f>IF($A269="","",IF(AN269="","NOT REVIEWED",IF(TODAY()-AN269&gt;90,"OVERDUE",IF(TODAY()-AN269&gt;76,"Due Soon","Current"))))</f>
        <v/>
      </c>
    </row>
    <row r="270" ht="15" customHeight="1" s="39">
      <c r="A270" s="61" t="n"/>
      <c r="B270" s="60" t="n"/>
      <c r="C270" s="61" t="n"/>
      <c r="D270" s="60" t="n"/>
      <c r="E270" s="60" t="n"/>
      <c r="F270" s="62" t="n"/>
      <c r="G270" s="62" t="n"/>
      <c r="H270" s="60" t="n"/>
      <c r="I270" s="60" t="n"/>
      <c r="J270" s="61" t="n"/>
      <c r="K270" s="61" t="n"/>
      <c r="L270" s="61" t="n"/>
      <c r="M270" s="60" t="n"/>
      <c r="N270" s="60" t="n"/>
      <c r="O270" s="60" t="n"/>
      <c r="P270" s="61" t="n"/>
      <c r="Q270" s="60" t="n"/>
      <c r="R270" s="60" t="n"/>
      <c r="S270" s="60" t="n"/>
      <c r="T270" s="61" t="n"/>
      <c r="U270" s="61" t="n"/>
      <c r="V270" s="60" t="n"/>
      <c r="W270" s="60" t="n"/>
      <c r="X270" s="60" t="n"/>
      <c r="Y270" s="60" t="n"/>
      <c r="Z270" s="61" t="n"/>
      <c r="AA270" s="60" t="n"/>
      <c r="AB270" s="60" t="n"/>
      <c r="AC270" s="60" t="n"/>
      <c r="AD270" s="60" t="n"/>
      <c r="AE270" s="63">
        <f>IF($G270="","",TODAY()-$G270)</f>
        <v/>
      </c>
      <c r="AF270" s="63">
        <f>IF($A270="","",IF($M270&gt;0,"Yes","No"))</f>
        <v/>
      </c>
      <c r="AG270" s="63">
        <f>IF($A270="","",IF(AND($E270="Yes",OR($AA270="No",$AA270="NOT FOUND")),"YES",""))</f>
        <v/>
      </c>
      <c r="AH270" s="66">
        <f>IF($A270="","",TRIM(IF(AND($Y270=0,$I270&lt;&gt;"Yes"),"T0-NoPhishResistant ","")&amp;IF($H270="No","NoMFA ","")&amp;IF(AND($Y270=0,$M270&gt;0),"T0-Standing ","")&amp;IF(AND($Y270=0,$S270="Group only"),"T0-ViaGroupOnly ","")&amp;IF($R270="Yes","BroadAzureScope ","")&amp;IF(AND($E270="Yes",$G270=""),"NeverSignedIn ","")))</f>
        <v/>
      </c>
      <c r="AI270" s="60" t="n"/>
      <c r="AJ270" s="61" t="n"/>
      <c r="AK270" s="60" t="n"/>
      <c r="AL270" s="62" t="n"/>
      <c r="AM270" s="62" t="n"/>
      <c r="AN270" s="62" t="n"/>
      <c r="AO270" s="60" t="n"/>
      <c r="AP270" s="61" t="n"/>
      <c r="AQ270" s="63">
        <f>IF($A270="","",IF(AM270="","Not Enrolled",IF(TODAY()&gt;AM270,"Review Overdue",IF(AM270-TODAY()&lt;=30,"Review Due Soon","Active"))))</f>
        <v/>
      </c>
      <c r="AR270" s="63">
        <f>IF($A270="","",IF(AN270="","NOT REVIEWED",IF(TODAY()-AN270&gt;90,"OVERDUE",IF(TODAY()-AN270&gt;76,"Due Soon","Current"))))</f>
        <v/>
      </c>
    </row>
    <row r="271" ht="15" customHeight="1" s="39">
      <c r="A271" s="61" t="n"/>
      <c r="B271" s="60" t="n"/>
      <c r="C271" s="61" t="n"/>
      <c r="D271" s="60" t="n"/>
      <c r="E271" s="60" t="n"/>
      <c r="F271" s="62" t="n"/>
      <c r="G271" s="62" t="n"/>
      <c r="H271" s="60" t="n"/>
      <c r="I271" s="60" t="n"/>
      <c r="J271" s="61" t="n"/>
      <c r="K271" s="61" t="n"/>
      <c r="L271" s="61" t="n"/>
      <c r="M271" s="60" t="n"/>
      <c r="N271" s="60" t="n"/>
      <c r="O271" s="60" t="n"/>
      <c r="P271" s="61" t="n"/>
      <c r="Q271" s="60" t="n"/>
      <c r="R271" s="60" t="n"/>
      <c r="S271" s="60" t="n"/>
      <c r="T271" s="61" t="n"/>
      <c r="U271" s="61" t="n"/>
      <c r="V271" s="60" t="n"/>
      <c r="W271" s="60" t="n"/>
      <c r="X271" s="60" t="n"/>
      <c r="Y271" s="60" t="n"/>
      <c r="Z271" s="61" t="n"/>
      <c r="AA271" s="60" t="n"/>
      <c r="AB271" s="60" t="n"/>
      <c r="AC271" s="60" t="n"/>
      <c r="AD271" s="60" t="n"/>
      <c r="AE271" s="63">
        <f>IF($G271="","",TODAY()-$G271)</f>
        <v/>
      </c>
      <c r="AF271" s="63">
        <f>IF($A271="","",IF($M271&gt;0,"Yes","No"))</f>
        <v/>
      </c>
      <c r="AG271" s="63">
        <f>IF($A271="","",IF(AND($E271="Yes",OR($AA271="No",$AA271="NOT FOUND")),"YES",""))</f>
        <v/>
      </c>
      <c r="AH271" s="66">
        <f>IF($A271="","",TRIM(IF(AND($Y271=0,$I271&lt;&gt;"Yes"),"T0-NoPhishResistant ","")&amp;IF($H271="No","NoMFA ","")&amp;IF(AND($Y271=0,$M271&gt;0),"T0-Standing ","")&amp;IF(AND($Y271=0,$S271="Group only"),"T0-ViaGroupOnly ","")&amp;IF($R271="Yes","BroadAzureScope ","")&amp;IF(AND($E271="Yes",$G271=""),"NeverSignedIn ","")))</f>
        <v/>
      </c>
      <c r="AI271" s="60" t="n"/>
      <c r="AJ271" s="61" t="n"/>
      <c r="AK271" s="60" t="n"/>
      <c r="AL271" s="62" t="n"/>
      <c r="AM271" s="62" t="n"/>
      <c r="AN271" s="62" t="n"/>
      <c r="AO271" s="60" t="n"/>
      <c r="AP271" s="61" t="n"/>
      <c r="AQ271" s="63">
        <f>IF($A271="","",IF(AM271="","Not Enrolled",IF(TODAY()&gt;AM271,"Review Overdue",IF(AM271-TODAY()&lt;=30,"Review Due Soon","Active"))))</f>
        <v/>
      </c>
      <c r="AR271" s="63">
        <f>IF($A271="","",IF(AN271="","NOT REVIEWED",IF(TODAY()-AN271&gt;90,"OVERDUE",IF(TODAY()-AN271&gt;76,"Due Soon","Current"))))</f>
        <v/>
      </c>
    </row>
    <row r="272" ht="15" customHeight="1" s="39">
      <c r="A272" s="61" t="n"/>
      <c r="B272" s="60" t="n"/>
      <c r="C272" s="61" t="n"/>
      <c r="D272" s="60" t="n"/>
      <c r="E272" s="60" t="n"/>
      <c r="F272" s="62" t="n"/>
      <c r="G272" s="62" t="n"/>
      <c r="H272" s="60" t="n"/>
      <c r="I272" s="60" t="n"/>
      <c r="J272" s="61" t="n"/>
      <c r="K272" s="61" t="n"/>
      <c r="L272" s="61" t="n"/>
      <c r="M272" s="60" t="n"/>
      <c r="N272" s="60" t="n"/>
      <c r="O272" s="60" t="n"/>
      <c r="P272" s="61" t="n"/>
      <c r="Q272" s="60" t="n"/>
      <c r="R272" s="60" t="n"/>
      <c r="S272" s="60" t="n"/>
      <c r="T272" s="61" t="n"/>
      <c r="U272" s="61" t="n"/>
      <c r="V272" s="60" t="n"/>
      <c r="W272" s="60" t="n"/>
      <c r="X272" s="60" t="n"/>
      <c r="Y272" s="60" t="n"/>
      <c r="Z272" s="61" t="n"/>
      <c r="AA272" s="60" t="n"/>
      <c r="AB272" s="60" t="n"/>
      <c r="AC272" s="60" t="n"/>
      <c r="AD272" s="60" t="n"/>
      <c r="AE272" s="63">
        <f>IF($G272="","",TODAY()-$G272)</f>
        <v/>
      </c>
      <c r="AF272" s="63">
        <f>IF($A272="","",IF($M272&gt;0,"Yes","No"))</f>
        <v/>
      </c>
      <c r="AG272" s="63">
        <f>IF($A272="","",IF(AND($E272="Yes",OR($AA272="No",$AA272="NOT FOUND")),"YES",""))</f>
        <v/>
      </c>
      <c r="AH272" s="66">
        <f>IF($A272="","",TRIM(IF(AND($Y272=0,$I272&lt;&gt;"Yes"),"T0-NoPhishResistant ","")&amp;IF($H272="No","NoMFA ","")&amp;IF(AND($Y272=0,$M272&gt;0),"T0-Standing ","")&amp;IF(AND($Y272=0,$S272="Group only"),"T0-ViaGroupOnly ","")&amp;IF($R272="Yes","BroadAzureScope ","")&amp;IF(AND($E272="Yes",$G272=""),"NeverSignedIn ","")))</f>
        <v/>
      </c>
      <c r="AI272" s="60" t="n"/>
      <c r="AJ272" s="61" t="n"/>
      <c r="AK272" s="60" t="n"/>
      <c r="AL272" s="62" t="n"/>
      <c r="AM272" s="62" t="n"/>
      <c r="AN272" s="62" t="n"/>
      <c r="AO272" s="60" t="n"/>
      <c r="AP272" s="61" t="n"/>
      <c r="AQ272" s="63">
        <f>IF($A272="","",IF(AM272="","Not Enrolled",IF(TODAY()&gt;AM272,"Review Overdue",IF(AM272-TODAY()&lt;=30,"Review Due Soon","Active"))))</f>
        <v/>
      </c>
      <c r="AR272" s="63">
        <f>IF($A272="","",IF(AN272="","NOT REVIEWED",IF(TODAY()-AN272&gt;90,"OVERDUE",IF(TODAY()-AN272&gt;76,"Due Soon","Current"))))</f>
        <v/>
      </c>
    </row>
    <row r="273" ht="15" customHeight="1" s="39">
      <c r="A273" s="61" t="n"/>
      <c r="B273" s="60" t="n"/>
      <c r="C273" s="61" t="n"/>
      <c r="D273" s="60" t="n"/>
      <c r="E273" s="60" t="n"/>
      <c r="F273" s="62" t="n"/>
      <c r="G273" s="62" t="n"/>
      <c r="H273" s="60" t="n"/>
      <c r="I273" s="60" t="n"/>
      <c r="J273" s="61" t="n"/>
      <c r="K273" s="61" t="n"/>
      <c r="L273" s="61" t="n"/>
      <c r="M273" s="60" t="n"/>
      <c r="N273" s="60" t="n"/>
      <c r="O273" s="60" t="n"/>
      <c r="P273" s="61" t="n"/>
      <c r="Q273" s="60" t="n"/>
      <c r="R273" s="60" t="n"/>
      <c r="S273" s="60" t="n"/>
      <c r="T273" s="61" t="n"/>
      <c r="U273" s="61" t="n"/>
      <c r="V273" s="60" t="n"/>
      <c r="W273" s="60" t="n"/>
      <c r="X273" s="60" t="n"/>
      <c r="Y273" s="60" t="n"/>
      <c r="Z273" s="61" t="n"/>
      <c r="AA273" s="60" t="n"/>
      <c r="AB273" s="60" t="n"/>
      <c r="AC273" s="60" t="n"/>
      <c r="AD273" s="60" t="n"/>
      <c r="AE273" s="63">
        <f>IF($G273="","",TODAY()-$G273)</f>
        <v/>
      </c>
      <c r="AF273" s="63">
        <f>IF($A273="","",IF($M273&gt;0,"Yes","No"))</f>
        <v/>
      </c>
      <c r="AG273" s="63">
        <f>IF($A273="","",IF(AND($E273="Yes",OR($AA273="No",$AA273="NOT FOUND")),"YES",""))</f>
        <v/>
      </c>
      <c r="AH273" s="66">
        <f>IF($A273="","",TRIM(IF(AND($Y273=0,$I273&lt;&gt;"Yes"),"T0-NoPhishResistant ","")&amp;IF($H273="No","NoMFA ","")&amp;IF(AND($Y273=0,$M273&gt;0),"T0-Standing ","")&amp;IF(AND($Y273=0,$S273="Group only"),"T0-ViaGroupOnly ","")&amp;IF($R273="Yes","BroadAzureScope ","")&amp;IF(AND($E273="Yes",$G273=""),"NeverSignedIn ","")))</f>
        <v/>
      </c>
      <c r="AI273" s="60" t="n"/>
      <c r="AJ273" s="61" t="n"/>
      <c r="AK273" s="60" t="n"/>
      <c r="AL273" s="62" t="n"/>
      <c r="AM273" s="62" t="n"/>
      <c r="AN273" s="62" t="n"/>
      <c r="AO273" s="60" t="n"/>
      <c r="AP273" s="61" t="n"/>
      <c r="AQ273" s="63">
        <f>IF($A273="","",IF(AM273="","Not Enrolled",IF(TODAY()&gt;AM273,"Review Overdue",IF(AM273-TODAY()&lt;=30,"Review Due Soon","Active"))))</f>
        <v/>
      </c>
      <c r="AR273" s="63">
        <f>IF($A273="","",IF(AN273="","NOT REVIEWED",IF(TODAY()-AN273&gt;90,"OVERDUE",IF(TODAY()-AN273&gt;76,"Due Soon","Current"))))</f>
        <v/>
      </c>
    </row>
    <row r="274" ht="15" customHeight="1" s="39">
      <c r="A274" s="61" t="n"/>
      <c r="B274" s="60" t="n"/>
      <c r="C274" s="61" t="n"/>
      <c r="D274" s="60" t="n"/>
      <c r="E274" s="60" t="n"/>
      <c r="F274" s="62" t="n"/>
      <c r="G274" s="62" t="n"/>
      <c r="H274" s="60" t="n"/>
      <c r="I274" s="60" t="n"/>
      <c r="J274" s="61" t="n"/>
      <c r="K274" s="61" t="n"/>
      <c r="L274" s="61" t="n"/>
      <c r="M274" s="60" t="n"/>
      <c r="N274" s="60" t="n"/>
      <c r="O274" s="60" t="n"/>
      <c r="P274" s="61" t="n"/>
      <c r="Q274" s="60" t="n"/>
      <c r="R274" s="60" t="n"/>
      <c r="S274" s="60" t="n"/>
      <c r="T274" s="61" t="n"/>
      <c r="U274" s="61" t="n"/>
      <c r="V274" s="60" t="n"/>
      <c r="W274" s="60" t="n"/>
      <c r="X274" s="60" t="n"/>
      <c r="Y274" s="60" t="n"/>
      <c r="Z274" s="61" t="n"/>
      <c r="AA274" s="60" t="n"/>
      <c r="AB274" s="60" t="n"/>
      <c r="AC274" s="60" t="n"/>
      <c r="AD274" s="60" t="n"/>
      <c r="AE274" s="63">
        <f>IF($G274="","",TODAY()-$G274)</f>
        <v/>
      </c>
      <c r="AF274" s="63">
        <f>IF($A274="","",IF($M274&gt;0,"Yes","No"))</f>
        <v/>
      </c>
      <c r="AG274" s="63">
        <f>IF($A274="","",IF(AND($E274="Yes",OR($AA274="No",$AA274="NOT FOUND")),"YES",""))</f>
        <v/>
      </c>
      <c r="AH274" s="66">
        <f>IF($A274="","",TRIM(IF(AND($Y274=0,$I274&lt;&gt;"Yes"),"T0-NoPhishResistant ","")&amp;IF($H274="No","NoMFA ","")&amp;IF(AND($Y274=0,$M274&gt;0),"T0-Standing ","")&amp;IF(AND($Y274=0,$S274="Group only"),"T0-ViaGroupOnly ","")&amp;IF($R274="Yes","BroadAzureScope ","")&amp;IF(AND($E274="Yes",$G274=""),"NeverSignedIn ","")))</f>
        <v/>
      </c>
      <c r="AI274" s="60" t="n"/>
      <c r="AJ274" s="61" t="n"/>
      <c r="AK274" s="60" t="n"/>
      <c r="AL274" s="62" t="n"/>
      <c r="AM274" s="62" t="n"/>
      <c r="AN274" s="62" t="n"/>
      <c r="AO274" s="60" t="n"/>
      <c r="AP274" s="61" t="n"/>
      <c r="AQ274" s="63">
        <f>IF($A274="","",IF(AM274="","Not Enrolled",IF(TODAY()&gt;AM274,"Review Overdue",IF(AM274-TODAY()&lt;=30,"Review Due Soon","Active"))))</f>
        <v/>
      </c>
      <c r="AR274" s="63">
        <f>IF($A274="","",IF(AN274="","NOT REVIEWED",IF(TODAY()-AN274&gt;90,"OVERDUE",IF(TODAY()-AN274&gt;76,"Due Soon","Current"))))</f>
        <v/>
      </c>
    </row>
    <row r="275" ht="15" customHeight="1" s="39">
      <c r="A275" s="61" t="n"/>
      <c r="B275" s="60" t="n"/>
      <c r="C275" s="61" t="n"/>
      <c r="D275" s="60" t="n"/>
      <c r="E275" s="60" t="n"/>
      <c r="F275" s="62" t="n"/>
      <c r="G275" s="62" t="n"/>
      <c r="H275" s="60" t="n"/>
      <c r="I275" s="60" t="n"/>
      <c r="J275" s="61" t="n"/>
      <c r="K275" s="61" t="n"/>
      <c r="L275" s="61" t="n"/>
      <c r="M275" s="60" t="n"/>
      <c r="N275" s="60" t="n"/>
      <c r="O275" s="60" t="n"/>
      <c r="P275" s="61" t="n"/>
      <c r="Q275" s="60" t="n"/>
      <c r="R275" s="60" t="n"/>
      <c r="S275" s="60" t="n"/>
      <c r="T275" s="61" t="n"/>
      <c r="U275" s="61" t="n"/>
      <c r="V275" s="60" t="n"/>
      <c r="W275" s="60" t="n"/>
      <c r="X275" s="60" t="n"/>
      <c r="Y275" s="60" t="n"/>
      <c r="Z275" s="61" t="n"/>
      <c r="AA275" s="60" t="n"/>
      <c r="AB275" s="60" t="n"/>
      <c r="AC275" s="60" t="n"/>
      <c r="AD275" s="60" t="n"/>
      <c r="AE275" s="63">
        <f>IF($G275="","",TODAY()-$G275)</f>
        <v/>
      </c>
      <c r="AF275" s="63">
        <f>IF($A275="","",IF($M275&gt;0,"Yes","No"))</f>
        <v/>
      </c>
      <c r="AG275" s="63">
        <f>IF($A275="","",IF(AND($E275="Yes",OR($AA275="No",$AA275="NOT FOUND")),"YES",""))</f>
        <v/>
      </c>
      <c r="AH275" s="66">
        <f>IF($A275="","",TRIM(IF(AND($Y275=0,$I275&lt;&gt;"Yes"),"T0-NoPhishResistant ","")&amp;IF($H275="No","NoMFA ","")&amp;IF(AND($Y275=0,$M275&gt;0),"T0-Standing ","")&amp;IF(AND($Y275=0,$S275="Group only"),"T0-ViaGroupOnly ","")&amp;IF($R275="Yes","BroadAzureScope ","")&amp;IF(AND($E275="Yes",$G275=""),"NeverSignedIn ","")))</f>
        <v/>
      </c>
      <c r="AI275" s="60" t="n"/>
      <c r="AJ275" s="61" t="n"/>
      <c r="AK275" s="60" t="n"/>
      <c r="AL275" s="62" t="n"/>
      <c r="AM275" s="62" t="n"/>
      <c r="AN275" s="62" t="n"/>
      <c r="AO275" s="60" t="n"/>
      <c r="AP275" s="61" t="n"/>
      <c r="AQ275" s="63">
        <f>IF($A275="","",IF(AM275="","Not Enrolled",IF(TODAY()&gt;AM275,"Review Overdue",IF(AM275-TODAY()&lt;=30,"Review Due Soon","Active"))))</f>
        <v/>
      </c>
      <c r="AR275" s="63">
        <f>IF($A275="","",IF(AN275="","NOT REVIEWED",IF(TODAY()-AN275&gt;90,"OVERDUE",IF(TODAY()-AN275&gt;76,"Due Soon","Current"))))</f>
        <v/>
      </c>
    </row>
    <row r="276" ht="15" customHeight="1" s="39">
      <c r="A276" s="61" t="n"/>
      <c r="B276" s="60" t="n"/>
      <c r="C276" s="61" t="n"/>
      <c r="D276" s="60" t="n"/>
      <c r="E276" s="60" t="n"/>
      <c r="F276" s="62" t="n"/>
      <c r="G276" s="62" t="n"/>
      <c r="H276" s="60" t="n"/>
      <c r="I276" s="60" t="n"/>
      <c r="J276" s="61" t="n"/>
      <c r="K276" s="61" t="n"/>
      <c r="L276" s="61" t="n"/>
      <c r="M276" s="60" t="n"/>
      <c r="N276" s="60" t="n"/>
      <c r="O276" s="60" t="n"/>
      <c r="P276" s="61" t="n"/>
      <c r="Q276" s="60" t="n"/>
      <c r="R276" s="60" t="n"/>
      <c r="S276" s="60" t="n"/>
      <c r="T276" s="61" t="n"/>
      <c r="U276" s="61" t="n"/>
      <c r="V276" s="60" t="n"/>
      <c r="W276" s="60" t="n"/>
      <c r="X276" s="60" t="n"/>
      <c r="Y276" s="60" t="n"/>
      <c r="Z276" s="61" t="n"/>
      <c r="AA276" s="60" t="n"/>
      <c r="AB276" s="60" t="n"/>
      <c r="AC276" s="60" t="n"/>
      <c r="AD276" s="60" t="n"/>
      <c r="AE276" s="63">
        <f>IF($G276="","",TODAY()-$G276)</f>
        <v/>
      </c>
      <c r="AF276" s="63">
        <f>IF($A276="","",IF($M276&gt;0,"Yes","No"))</f>
        <v/>
      </c>
      <c r="AG276" s="63">
        <f>IF($A276="","",IF(AND($E276="Yes",OR($AA276="No",$AA276="NOT FOUND")),"YES",""))</f>
        <v/>
      </c>
      <c r="AH276" s="66">
        <f>IF($A276="","",TRIM(IF(AND($Y276=0,$I276&lt;&gt;"Yes"),"T0-NoPhishResistant ","")&amp;IF($H276="No","NoMFA ","")&amp;IF(AND($Y276=0,$M276&gt;0),"T0-Standing ","")&amp;IF(AND($Y276=0,$S276="Group only"),"T0-ViaGroupOnly ","")&amp;IF($R276="Yes","BroadAzureScope ","")&amp;IF(AND($E276="Yes",$G276=""),"NeverSignedIn ","")))</f>
        <v/>
      </c>
      <c r="AI276" s="60" t="n"/>
      <c r="AJ276" s="61" t="n"/>
      <c r="AK276" s="60" t="n"/>
      <c r="AL276" s="62" t="n"/>
      <c r="AM276" s="62" t="n"/>
      <c r="AN276" s="62" t="n"/>
      <c r="AO276" s="60" t="n"/>
      <c r="AP276" s="61" t="n"/>
      <c r="AQ276" s="63">
        <f>IF($A276="","",IF(AM276="","Not Enrolled",IF(TODAY()&gt;AM276,"Review Overdue",IF(AM276-TODAY()&lt;=30,"Review Due Soon","Active"))))</f>
        <v/>
      </c>
      <c r="AR276" s="63">
        <f>IF($A276="","",IF(AN276="","NOT REVIEWED",IF(TODAY()-AN276&gt;90,"OVERDUE",IF(TODAY()-AN276&gt;76,"Due Soon","Current"))))</f>
        <v/>
      </c>
    </row>
    <row r="277" ht="15" customHeight="1" s="39">
      <c r="A277" s="61" t="n"/>
      <c r="B277" s="60" t="n"/>
      <c r="C277" s="61" t="n"/>
      <c r="D277" s="60" t="n"/>
      <c r="E277" s="60" t="n"/>
      <c r="F277" s="62" t="n"/>
      <c r="G277" s="62" t="n"/>
      <c r="H277" s="60" t="n"/>
      <c r="I277" s="60" t="n"/>
      <c r="J277" s="61" t="n"/>
      <c r="K277" s="61" t="n"/>
      <c r="L277" s="61" t="n"/>
      <c r="M277" s="60" t="n"/>
      <c r="N277" s="60" t="n"/>
      <c r="O277" s="60" t="n"/>
      <c r="P277" s="61" t="n"/>
      <c r="Q277" s="60" t="n"/>
      <c r="R277" s="60" t="n"/>
      <c r="S277" s="60" t="n"/>
      <c r="T277" s="61" t="n"/>
      <c r="U277" s="61" t="n"/>
      <c r="V277" s="60" t="n"/>
      <c r="W277" s="60" t="n"/>
      <c r="X277" s="60" t="n"/>
      <c r="Y277" s="60" t="n"/>
      <c r="Z277" s="61" t="n"/>
      <c r="AA277" s="60" t="n"/>
      <c r="AB277" s="60" t="n"/>
      <c r="AC277" s="60" t="n"/>
      <c r="AD277" s="60" t="n"/>
      <c r="AE277" s="63">
        <f>IF($G277="","",TODAY()-$G277)</f>
        <v/>
      </c>
      <c r="AF277" s="63">
        <f>IF($A277="","",IF($M277&gt;0,"Yes","No"))</f>
        <v/>
      </c>
      <c r="AG277" s="63">
        <f>IF($A277="","",IF(AND($E277="Yes",OR($AA277="No",$AA277="NOT FOUND")),"YES",""))</f>
        <v/>
      </c>
      <c r="AH277" s="66">
        <f>IF($A277="","",TRIM(IF(AND($Y277=0,$I277&lt;&gt;"Yes"),"T0-NoPhishResistant ","")&amp;IF($H277="No","NoMFA ","")&amp;IF(AND($Y277=0,$M277&gt;0),"T0-Standing ","")&amp;IF(AND($Y277=0,$S277="Group only"),"T0-ViaGroupOnly ","")&amp;IF($R277="Yes","BroadAzureScope ","")&amp;IF(AND($E277="Yes",$G277=""),"NeverSignedIn ","")))</f>
        <v/>
      </c>
      <c r="AI277" s="60" t="n"/>
      <c r="AJ277" s="61" t="n"/>
      <c r="AK277" s="60" t="n"/>
      <c r="AL277" s="62" t="n"/>
      <c r="AM277" s="62" t="n"/>
      <c r="AN277" s="62" t="n"/>
      <c r="AO277" s="60" t="n"/>
      <c r="AP277" s="61" t="n"/>
      <c r="AQ277" s="63">
        <f>IF($A277="","",IF(AM277="","Not Enrolled",IF(TODAY()&gt;AM277,"Review Overdue",IF(AM277-TODAY()&lt;=30,"Review Due Soon","Active"))))</f>
        <v/>
      </c>
      <c r="AR277" s="63">
        <f>IF($A277="","",IF(AN277="","NOT REVIEWED",IF(TODAY()-AN277&gt;90,"OVERDUE",IF(TODAY()-AN277&gt;76,"Due Soon","Current"))))</f>
        <v/>
      </c>
    </row>
    <row r="278" ht="15" customHeight="1" s="39">
      <c r="A278" s="61" t="n"/>
      <c r="B278" s="60" t="n"/>
      <c r="C278" s="61" t="n"/>
      <c r="D278" s="60" t="n"/>
      <c r="E278" s="60" t="n"/>
      <c r="F278" s="62" t="n"/>
      <c r="G278" s="62" t="n"/>
      <c r="H278" s="60" t="n"/>
      <c r="I278" s="60" t="n"/>
      <c r="J278" s="61" t="n"/>
      <c r="K278" s="61" t="n"/>
      <c r="L278" s="61" t="n"/>
      <c r="M278" s="60" t="n"/>
      <c r="N278" s="60" t="n"/>
      <c r="O278" s="60" t="n"/>
      <c r="P278" s="61" t="n"/>
      <c r="Q278" s="60" t="n"/>
      <c r="R278" s="60" t="n"/>
      <c r="S278" s="60" t="n"/>
      <c r="T278" s="61" t="n"/>
      <c r="U278" s="61" t="n"/>
      <c r="V278" s="60" t="n"/>
      <c r="W278" s="60" t="n"/>
      <c r="X278" s="60" t="n"/>
      <c r="Y278" s="60" t="n"/>
      <c r="Z278" s="61" t="n"/>
      <c r="AA278" s="60" t="n"/>
      <c r="AB278" s="60" t="n"/>
      <c r="AC278" s="60" t="n"/>
      <c r="AD278" s="60" t="n"/>
      <c r="AE278" s="63">
        <f>IF($G278="","",TODAY()-$G278)</f>
        <v/>
      </c>
      <c r="AF278" s="63">
        <f>IF($A278="","",IF($M278&gt;0,"Yes","No"))</f>
        <v/>
      </c>
      <c r="AG278" s="63">
        <f>IF($A278="","",IF(AND($E278="Yes",OR($AA278="No",$AA278="NOT FOUND")),"YES",""))</f>
        <v/>
      </c>
      <c r="AH278" s="66">
        <f>IF($A278="","",TRIM(IF(AND($Y278=0,$I278&lt;&gt;"Yes"),"T0-NoPhishResistant ","")&amp;IF($H278="No","NoMFA ","")&amp;IF(AND($Y278=0,$M278&gt;0),"T0-Standing ","")&amp;IF(AND($Y278=0,$S278="Group only"),"T0-ViaGroupOnly ","")&amp;IF($R278="Yes","BroadAzureScope ","")&amp;IF(AND($E278="Yes",$G278=""),"NeverSignedIn ","")))</f>
        <v/>
      </c>
      <c r="AI278" s="60" t="n"/>
      <c r="AJ278" s="61" t="n"/>
      <c r="AK278" s="60" t="n"/>
      <c r="AL278" s="62" t="n"/>
      <c r="AM278" s="62" t="n"/>
      <c r="AN278" s="62" t="n"/>
      <c r="AO278" s="60" t="n"/>
      <c r="AP278" s="61" t="n"/>
      <c r="AQ278" s="63">
        <f>IF($A278="","",IF(AM278="","Not Enrolled",IF(TODAY()&gt;AM278,"Review Overdue",IF(AM278-TODAY()&lt;=30,"Review Due Soon","Active"))))</f>
        <v/>
      </c>
      <c r="AR278" s="63">
        <f>IF($A278="","",IF(AN278="","NOT REVIEWED",IF(TODAY()-AN278&gt;90,"OVERDUE",IF(TODAY()-AN278&gt;76,"Due Soon","Current"))))</f>
        <v/>
      </c>
    </row>
    <row r="279" ht="15" customHeight="1" s="39">
      <c r="A279" s="61" t="n"/>
      <c r="B279" s="60" t="n"/>
      <c r="C279" s="61" t="n"/>
      <c r="D279" s="60" t="n"/>
      <c r="E279" s="60" t="n"/>
      <c r="F279" s="62" t="n"/>
      <c r="G279" s="62" t="n"/>
      <c r="H279" s="60" t="n"/>
      <c r="I279" s="60" t="n"/>
      <c r="J279" s="61" t="n"/>
      <c r="K279" s="61" t="n"/>
      <c r="L279" s="61" t="n"/>
      <c r="M279" s="60" t="n"/>
      <c r="N279" s="60" t="n"/>
      <c r="O279" s="60" t="n"/>
      <c r="P279" s="61" t="n"/>
      <c r="Q279" s="60" t="n"/>
      <c r="R279" s="60" t="n"/>
      <c r="S279" s="60" t="n"/>
      <c r="T279" s="61" t="n"/>
      <c r="U279" s="61" t="n"/>
      <c r="V279" s="60" t="n"/>
      <c r="W279" s="60" t="n"/>
      <c r="X279" s="60" t="n"/>
      <c r="Y279" s="60" t="n"/>
      <c r="Z279" s="61" t="n"/>
      <c r="AA279" s="60" t="n"/>
      <c r="AB279" s="60" t="n"/>
      <c r="AC279" s="60" t="n"/>
      <c r="AD279" s="60" t="n"/>
      <c r="AE279" s="63">
        <f>IF($G279="","",TODAY()-$G279)</f>
        <v/>
      </c>
      <c r="AF279" s="63">
        <f>IF($A279="","",IF($M279&gt;0,"Yes","No"))</f>
        <v/>
      </c>
      <c r="AG279" s="63">
        <f>IF($A279="","",IF(AND($E279="Yes",OR($AA279="No",$AA279="NOT FOUND")),"YES",""))</f>
        <v/>
      </c>
      <c r="AH279" s="66">
        <f>IF($A279="","",TRIM(IF(AND($Y279=0,$I279&lt;&gt;"Yes"),"T0-NoPhishResistant ","")&amp;IF($H279="No","NoMFA ","")&amp;IF(AND($Y279=0,$M279&gt;0),"T0-Standing ","")&amp;IF(AND($Y279=0,$S279="Group only"),"T0-ViaGroupOnly ","")&amp;IF($R279="Yes","BroadAzureScope ","")&amp;IF(AND($E279="Yes",$G279=""),"NeverSignedIn ","")))</f>
        <v/>
      </c>
      <c r="AI279" s="60" t="n"/>
      <c r="AJ279" s="61" t="n"/>
      <c r="AK279" s="60" t="n"/>
      <c r="AL279" s="62" t="n"/>
      <c r="AM279" s="62" t="n"/>
      <c r="AN279" s="62" t="n"/>
      <c r="AO279" s="60" t="n"/>
      <c r="AP279" s="61" t="n"/>
      <c r="AQ279" s="63">
        <f>IF($A279="","",IF(AM279="","Not Enrolled",IF(TODAY()&gt;AM279,"Review Overdue",IF(AM279-TODAY()&lt;=30,"Review Due Soon","Active"))))</f>
        <v/>
      </c>
      <c r="AR279" s="63">
        <f>IF($A279="","",IF(AN279="","NOT REVIEWED",IF(TODAY()-AN279&gt;90,"OVERDUE",IF(TODAY()-AN279&gt;76,"Due Soon","Current"))))</f>
        <v/>
      </c>
    </row>
    <row r="280" ht="15" customHeight="1" s="39">
      <c r="A280" s="61" t="n"/>
      <c r="B280" s="60" t="n"/>
      <c r="C280" s="61" t="n"/>
      <c r="D280" s="60" t="n"/>
      <c r="E280" s="60" t="n"/>
      <c r="F280" s="62" t="n"/>
      <c r="G280" s="62" t="n"/>
      <c r="H280" s="60" t="n"/>
      <c r="I280" s="60" t="n"/>
      <c r="J280" s="61" t="n"/>
      <c r="K280" s="61" t="n"/>
      <c r="L280" s="61" t="n"/>
      <c r="M280" s="60" t="n"/>
      <c r="N280" s="60" t="n"/>
      <c r="O280" s="60" t="n"/>
      <c r="P280" s="61" t="n"/>
      <c r="Q280" s="60" t="n"/>
      <c r="R280" s="60" t="n"/>
      <c r="S280" s="60" t="n"/>
      <c r="T280" s="61" t="n"/>
      <c r="U280" s="61" t="n"/>
      <c r="V280" s="60" t="n"/>
      <c r="W280" s="60" t="n"/>
      <c r="X280" s="60" t="n"/>
      <c r="Y280" s="60" t="n"/>
      <c r="Z280" s="61" t="n"/>
      <c r="AA280" s="60" t="n"/>
      <c r="AB280" s="60" t="n"/>
      <c r="AC280" s="60" t="n"/>
      <c r="AD280" s="60" t="n"/>
      <c r="AE280" s="63">
        <f>IF($G280="","",TODAY()-$G280)</f>
        <v/>
      </c>
      <c r="AF280" s="63">
        <f>IF($A280="","",IF($M280&gt;0,"Yes","No"))</f>
        <v/>
      </c>
      <c r="AG280" s="63">
        <f>IF($A280="","",IF(AND($E280="Yes",OR($AA280="No",$AA280="NOT FOUND")),"YES",""))</f>
        <v/>
      </c>
      <c r="AH280" s="66">
        <f>IF($A280="","",TRIM(IF(AND($Y280=0,$I280&lt;&gt;"Yes"),"T0-NoPhishResistant ","")&amp;IF($H280="No","NoMFA ","")&amp;IF(AND($Y280=0,$M280&gt;0),"T0-Standing ","")&amp;IF(AND($Y280=0,$S280="Group only"),"T0-ViaGroupOnly ","")&amp;IF($R280="Yes","BroadAzureScope ","")&amp;IF(AND($E280="Yes",$G280=""),"NeverSignedIn ","")))</f>
        <v/>
      </c>
      <c r="AI280" s="60" t="n"/>
      <c r="AJ280" s="61" t="n"/>
      <c r="AK280" s="60" t="n"/>
      <c r="AL280" s="62" t="n"/>
      <c r="AM280" s="62" t="n"/>
      <c r="AN280" s="62" t="n"/>
      <c r="AO280" s="60" t="n"/>
      <c r="AP280" s="61" t="n"/>
      <c r="AQ280" s="63">
        <f>IF($A280="","",IF(AM280="","Not Enrolled",IF(TODAY()&gt;AM280,"Review Overdue",IF(AM280-TODAY()&lt;=30,"Review Due Soon","Active"))))</f>
        <v/>
      </c>
      <c r="AR280" s="63">
        <f>IF($A280="","",IF(AN280="","NOT REVIEWED",IF(TODAY()-AN280&gt;90,"OVERDUE",IF(TODAY()-AN280&gt;76,"Due Soon","Current"))))</f>
        <v/>
      </c>
    </row>
    <row r="281" ht="15" customHeight="1" s="39">
      <c r="A281" s="61" t="n"/>
      <c r="B281" s="60" t="n"/>
      <c r="C281" s="61" t="n"/>
      <c r="D281" s="60" t="n"/>
      <c r="E281" s="60" t="n"/>
      <c r="F281" s="62" t="n"/>
      <c r="G281" s="62" t="n"/>
      <c r="H281" s="60" t="n"/>
      <c r="I281" s="60" t="n"/>
      <c r="J281" s="61" t="n"/>
      <c r="K281" s="61" t="n"/>
      <c r="L281" s="61" t="n"/>
      <c r="M281" s="60" t="n"/>
      <c r="N281" s="60" t="n"/>
      <c r="O281" s="60" t="n"/>
      <c r="P281" s="61" t="n"/>
      <c r="Q281" s="60" t="n"/>
      <c r="R281" s="60" t="n"/>
      <c r="S281" s="60" t="n"/>
      <c r="T281" s="61" t="n"/>
      <c r="U281" s="61" t="n"/>
      <c r="V281" s="60" t="n"/>
      <c r="W281" s="60" t="n"/>
      <c r="X281" s="60" t="n"/>
      <c r="Y281" s="60" t="n"/>
      <c r="Z281" s="61" t="n"/>
      <c r="AA281" s="60" t="n"/>
      <c r="AB281" s="60" t="n"/>
      <c r="AC281" s="60" t="n"/>
      <c r="AD281" s="60" t="n"/>
      <c r="AE281" s="63">
        <f>IF($G281="","",TODAY()-$G281)</f>
        <v/>
      </c>
      <c r="AF281" s="63">
        <f>IF($A281="","",IF($M281&gt;0,"Yes","No"))</f>
        <v/>
      </c>
      <c r="AG281" s="63">
        <f>IF($A281="","",IF(AND($E281="Yes",OR($AA281="No",$AA281="NOT FOUND")),"YES",""))</f>
        <v/>
      </c>
      <c r="AH281" s="66">
        <f>IF($A281="","",TRIM(IF(AND($Y281=0,$I281&lt;&gt;"Yes"),"T0-NoPhishResistant ","")&amp;IF($H281="No","NoMFA ","")&amp;IF(AND($Y281=0,$M281&gt;0),"T0-Standing ","")&amp;IF(AND($Y281=0,$S281="Group only"),"T0-ViaGroupOnly ","")&amp;IF($R281="Yes","BroadAzureScope ","")&amp;IF(AND($E281="Yes",$G281=""),"NeverSignedIn ","")))</f>
        <v/>
      </c>
      <c r="AI281" s="60" t="n"/>
      <c r="AJ281" s="61" t="n"/>
      <c r="AK281" s="60" t="n"/>
      <c r="AL281" s="62" t="n"/>
      <c r="AM281" s="62" t="n"/>
      <c r="AN281" s="62" t="n"/>
      <c r="AO281" s="60" t="n"/>
      <c r="AP281" s="61" t="n"/>
      <c r="AQ281" s="63">
        <f>IF($A281="","",IF(AM281="","Not Enrolled",IF(TODAY()&gt;AM281,"Review Overdue",IF(AM281-TODAY()&lt;=30,"Review Due Soon","Active"))))</f>
        <v/>
      </c>
      <c r="AR281" s="63">
        <f>IF($A281="","",IF(AN281="","NOT REVIEWED",IF(TODAY()-AN281&gt;90,"OVERDUE",IF(TODAY()-AN281&gt;76,"Due Soon","Current"))))</f>
        <v/>
      </c>
    </row>
    <row r="282" ht="15" customHeight="1" s="39">
      <c r="A282" s="61" t="n"/>
      <c r="B282" s="60" t="n"/>
      <c r="C282" s="61" t="n"/>
      <c r="D282" s="60" t="n"/>
      <c r="E282" s="60" t="n"/>
      <c r="F282" s="62" t="n"/>
      <c r="G282" s="62" t="n"/>
      <c r="H282" s="60" t="n"/>
      <c r="I282" s="60" t="n"/>
      <c r="J282" s="61" t="n"/>
      <c r="K282" s="61" t="n"/>
      <c r="L282" s="61" t="n"/>
      <c r="M282" s="60" t="n"/>
      <c r="N282" s="60" t="n"/>
      <c r="O282" s="60" t="n"/>
      <c r="P282" s="61" t="n"/>
      <c r="Q282" s="60" t="n"/>
      <c r="R282" s="60" t="n"/>
      <c r="S282" s="60" t="n"/>
      <c r="T282" s="61" t="n"/>
      <c r="U282" s="61" t="n"/>
      <c r="V282" s="60" t="n"/>
      <c r="W282" s="60" t="n"/>
      <c r="X282" s="60" t="n"/>
      <c r="Y282" s="60" t="n"/>
      <c r="Z282" s="61" t="n"/>
      <c r="AA282" s="60" t="n"/>
      <c r="AB282" s="60" t="n"/>
      <c r="AC282" s="60" t="n"/>
      <c r="AD282" s="60" t="n"/>
      <c r="AE282" s="63">
        <f>IF($G282="","",TODAY()-$G282)</f>
        <v/>
      </c>
      <c r="AF282" s="63">
        <f>IF($A282="","",IF($M282&gt;0,"Yes","No"))</f>
        <v/>
      </c>
      <c r="AG282" s="63">
        <f>IF($A282="","",IF(AND($E282="Yes",OR($AA282="No",$AA282="NOT FOUND")),"YES",""))</f>
        <v/>
      </c>
      <c r="AH282" s="66">
        <f>IF($A282="","",TRIM(IF(AND($Y282=0,$I282&lt;&gt;"Yes"),"T0-NoPhishResistant ","")&amp;IF($H282="No","NoMFA ","")&amp;IF(AND($Y282=0,$M282&gt;0),"T0-Standing ","")&amp;IF(AND($Y282=0,$S282="Group only"),"T0-ViaGroupOnly ","")&amp;IF($R282="Yes","BroadAzureScope ","")&amp;IF(AND($E282="Yes",$G282=""),"NeverSignedIn ","")))</f>
        <v/>
      </c>
      <c r="AI282" s="60" t="n"/>
      <c r="AJ282" s="61" t="n"/>
      <c r="AK282" s="60" t="n"/>
      <c r="AL282" s="62" t="n"/>
      <c r="AM282" s="62" t="n"/>
      <c r="AN282" s="62" t="n"/>
      <c r="AO282" s="60" t="n"/>
      <c r="AP282" s="61" t="n"/>
      <c r="AQ282" s="63">
        <f>IF($A282="","",IF(AM282="","Not Enrolled",IF(TODAY()&gt;AM282,"Review Overdue",IF(AM282-TODAY()&lt;=30,"Review Due Soon","Active"))))</f>
        <v/>
      </c>
      <c r="AR282" s="63">
        <f>IF($A282="","",IF(AN282="","NOT REVIEWED",IF(TODAY()-AN282&gt;90,"OVERDUE",IF(TODAY()-AN282&gt;76,"Due Soon","Current"))))</f>
        <v/>
      </c>
    </row>
    <row r="283" ht="15" customHeight="1" s="39">
      <c r="A283" s="61" t="n"/>
      <c r="B283" s="60" t="n"/>
      <c r="C283" s="61" t="n"/>
      <c r="D283" s="60" t="n"/>
      <c r="E283" s="60" t="n"/>
      <c r="F283" s="62" t="n"/>
      <c r="G283" s="62" t="n"/>
      <c r="H283" s="60" t="n"/>
      <c r="I283" s="60" t="n"/>
      <c r="J283" s="61" t="n"/>
      <c r="K283" s="61" t="n"/>
      <c r="L283" s="61" t="n"/>
      <c r="M283" s="60" t="n"/>
      <c r="N283" s="60" t="n"/>
      <c r="O283" s="60" t="n"/>
      <c r="P283" s="61" t="n"/>
      <c r="Q283" s="60" t="n"/>
      <c r="R283" s="60" t="n"/>
      <c r="S283" s="60" t="n"/>
      <c r="T283" s="61" t="n"/>
      <c r="U283" s="61" t="n"/>
      <c r="V283" s="60" t="n"/>
      <c r="W283" s="60" t="n"/>
      <c r="X283" s="60" t="n"/>
      <c r="Y283" s="60" t="n"/>
      <c r="Z283" s="61" t="n"/>
      <c r="AA283" s="60" t="n"/>
      <c r="AB283" s="60" t="n"/>
      <c r="AC283" s="60" t="n"/>
      <c r="AD283" s="60" t="n"/>
      <c r="AE283" s="63">
        <f>IF($G283="","",TODAY()-$G283)</f>
        <v/>
      </c>
      <c r="AF283" s="63">
        <f>IF($A283="","",IF($M283&gt;0,"Yes","No"))</f>
        <v/>
      </c>
      <c r="AG283" s="63">
        <f>IF($A283="","",IF(AND($E283="Yes",OR($AA283="No",$AA283="NOT FOUND")),"YES",""))</f>
        <v/>
      </c>
      <c r="AH283" s="66">
        <f>IF($A283="","",TRIM(IF(AND($Y283=0,$I283&lt;&gt;"Yes"),"T0-NoPhishResistant ","")&amp;IF($H283="No","NoMFA ","")&amp;IF(AND($Y283=0,$M283&gt;0),"T0-Standing ","")&amp;IF(AND($Y283=0,$S283="Group only"),"T0-ViaGroupOnly ","")&amp;IF($R283="Yes","BroadAzureScope ","")&amp;IF(AND($E283="Yes",$G283=""),"NeverSignedIn ","")))</f>
        <v/>
      </c>
      <c r="AI283" s="60" t="n"/>
      <c r="AJ283" s="61" t="n"/>
      <c r="AK283" s="60" t="n"/>
      <c r="AL283" s="62" t="n"/>
      <c r="AM283" s="62" t="n"/>
      <c r="AN283" s="62" t="n"/>
      <c r="AO283" s="60" t="n"/>
      <c r="AP283" s="61" t="n"/>
      <c r="AQ283" s="63">
        <f>IF($A283="","",IF(AM283="","Not Enrolled",IF(TODAY()&gt;AM283,"Review Overdue",IF(AM283-TODAY()&lt;=30,"Review Due Soon","Active"))))</f>
        <v/>
      </c>
      <c r="AR283" s="63">
        <f>IF($A283="","",IF(AN283="","NOT REVIEWED",IF(TODAY()-AN283&gt;90,"OVERDUE",IF(TODAY()-AN283&gt;76,"Due Soon","Current"))))</f>
        <v/>
      </c>
    </row>
    <row r="284" ht="15" customHeight="1" s="39">
      <c r="A284" s="61" t="n"/>
      <c r="B284" s="60" t="n"/>
      <c r="C284" s="61" t="n"/>
      <c r="D284" s="60" t="n"/>
      <c r="E284" s="60" t="n"/>
      <c r="F284" s="62" t="n"/>
      <c r="G284" s="62" t="n"/>
      <c r="H284" s="60" t="n"/>
      <c r="I284" s="60" t="n"/>
      <c r="J284" s="61" t="n"/>
      <c r="K284" s="61" t="n"/>
      <c r="L284" s="61" t="n"/>
      <c r="M284" s="60" t="n"/>
      <c r="N284" s="60" t="n"/>
      <c r="O284" s="60" t="n"/>
      <c r="P284" s="61" t="n"/>
      <c r="Q284" s="60" t="n"/>
      <c r="R284" s="60" t="n"/>
      <c r="S284" s="60" t="n"/>
      <c r="T284" s="61" t="n"/>
      <c r="U284" s="61" t="n"/>
      <c r="V284" s="60" t="n"/>
      <c r="W284" s="60" t="n"/>
      <c r="X284" s="60" t="n"/>
      <c r="Y284" s="60" t="n"/>
      <c r="Z284" s="61" t="n"/>
      <c r="AA284" s="60" t="n"/>
      <c r="AB284" s="60" t="n"/>
      <c r="AC284" s="60" t="n"/>
      <c r="AD284" s="60" t="n"/>
      <c r="AE284" s="63">
        <f>IF($G284="","",TODAY()-$G284)</f>
        <v/>
      </c>
      <c r="AF284" s="63">
        <f>IF($A284="","",IF($M284&gt;0,"Yes","No"))</f>
        <v/>
      </c>
      <c r="AG284" s="63">
        <f>IF($A284="","",IF(AND($E284="Yes",OR($AA284="No",$AA284="NOT FOUND")),"YES",""))</f>
        <v/>
      </c>
      <c r="AH284" s="66">
        <f>IF($A284="","",TRIM(IF(AND($Y284=0,$I284&lt;&gt;"Yes"),"T0-NoPhishResistant ","")&amp;IF($H284="No","NoMFA ","")&amp;IF(AND($Y284=0,$M284&gt;0),"T0-Standing ","")&amp;IF(AND($Y284=0,$S284="Group only"),"T0-ViaGroupOnly ","")&amp;IF($R284="Yes","BroadAzureScope ","")&amp;IF(AND($E284="Yes",$G284=""),"NeverSignedIn ","")))</f>
        <v/>
      </c>
      <c r="AI284" s="60" t="n"/>
      <c r="AJ284" s="61" t="n"/>
      <c r="AK284" s="60" t="n"/>
      <c r="AL284" s="62" t="n"/>
      <c r="AM284" s="62" t="n"/>
      <c r="AN284" s="62" t="n"/>
      <c r="AO284" s="60" t="n"/>
      <c r="AP284" s="61" t="n"/>
      <c r="AQ284" s="63">
        <f>IF($A284="","",IF(AM284="","Not Enrolled",IF(TODAY()&gt;AM284,"Review Overdue",IF(AM284-TODAY()&lt;=30,"Review Due Soon","Active"))))</f>
        <v/>
      </c>
      <c r="AR284" s="63">
        <f>IF($A284="","",IF(AN284="","NOT REVIEWED",IF(TODAY()-AN284&gt;90,"OVERDUE",IF(TODAY()-AN284&gt;76,"Due Soon","Current"))))</f>
        <v/>
      </c>
    </row>
    <row r="285" ht="15" customHeight="1" s="39">
      <c r="A285" s="61" t="n"/>
      <c r="B285" s="60" t="n"/>
      <c r="C285" s="61" t="n"/>
      <c r="D285" s="60" t="n"/>
      <c r="E285" s="60" t="n"/>
      <c r="F285" s="62" t="n"/>
      <c r="G285" s="62" t="n"/>
      <c r="H285" s="60" t="n"/>
      <c r="I285" s="60" t="n"/>
      <c r="J285" s="61" t="n"/>
      <c r="K285" s="61" t="n"/>
      <c r="L285" s="61" t="n"/>
      <c r="M285" s="60" t="n"/>
      <c r="N285" s="60" t="n"/>
      <c r="O285" s="60" t="n"/>
      <c r="P285" s="61" t="n"/>
      <c r="Q285" s="60" t="n"/>
      <c r="R285" s="60" t="n"/>
      <c r="S285" s="60" t="n"/>
      <c r="T285" s="61" t="n"/>
      <c r="U285" s="61" t="n"/>
      <c r="V285" s="60" t="n"/>
      <c r="W285" s="60" t="n"/>
      <c r="X285" s="60" t="n"/>
      <c r="Y285" s="60" t="n"/>
      <c r="Z285" s="61" t="n"/>
      <c r="AA285" s="60" t="n"/>
      <c r="AB285" s="60" t="n"/>
      <c r="AC285" s="60" t="n"/>
      <c r="AD285" s="60" t="n"/>
      <c r="AE285" s="63">
        <f>IF($G285="","",TODAY()-$G285)</f>
        <v/>
      </c>
      <c r="AF285" s="63">
        <f>IF($A285="","",IF($M285&gt;0,"Yes","No"))</f>
        <v/>
      </c>
      <c r="AG285" s="63">
        <f>IF($A285="","",IF(AND($E285="Yes",OR($AA285="No",$AA285="NOT FOUND")),"YES",""))</f>
        <v/>
      </c>
      <c r="AH285" s="66">
        <f>IF($A285="","",TRIM(IF(AND($Y285=0,$I285&lt;&gt;"Yes"),"T0-NoPhishResistant ","")&amp;IF($H285="No","NoMFA ","")&amp;IF(AND($Y285=0,$M285&gt;0),"T0-Standing ","")&amp;IF(AND($Y285=0,$S285="Group only"),"T0-ViaGroupOnly ","")&amp;IF($R285="Yes","BroadAzureScope ","")&amp;IF(AND($E285="Yes",$G285=""),"NeverSignedIn ","")))</f>
        <v/>
      </c>
      <c r="AI285" s="60" t="n"/>
      <c r="AJ285" s="61" t="n"/>
      <c r="AK285" s="60" t="n"/>
      <c r="AL285" s="62" t="n"/>
      <c r="AM285" s="62" t="n"/>
      <c r="AN285" s="62" t="n"/>
      <c r="AO285" s="60" t="n"/>
      <c r="AP285" s="61" t="n"/>
      <c r="AQ285" s="63">
        <f>IF($A285="","",IF(AM285="","Not Enrolled",IF(TODAY()&gt;AM285,"Review Overdue",IF(AM285-TODAY()&lt;=30,"Review Due Soon","Active"))))</f>
        <v/>
      </c>
      <c r="AR285" s="63">
        <f>IF($A285="","",IF(AN285="","NOT REVIEWED",IF(TODAY()-AN285&gt;90,"OVERDUE",IF(TODAY()-AN285&gt;76,"Due Soon","Current"))))</f>
        <v/>
      </c>
    </row>
    <row r="286" ht="15" customHeight="1" s="39">
      <c r="A286" s="61" t="n"/>
      <c r="B286" s="60" t="n"/>
      <c r="C286" s="61" t="n"/>
      <c r="D286" s="60" t="n"/>
      <c r="E286" s="60" t="n"/>
      <c r="F286" s="62" t="n"/>
      <c r="G286" s="62" t="n"/>
      <c r="H286" s="60" t="n"/>
      <c r="I286" s="60" t="n"/>
      <c r="J286" s="61" t="n"/>
      <c r="K286" s="61" t="n"/>
      <c r="L286" s="61" t="n"/>
      <c r="M286" s="60" t="n"/>
      <c r="N286" s="60" t="n"/>
      <c r="O286" s="60" t="n"/>
      <c r="P286" s="61" t="n"/>
      <c r="Q286" s="60" t="n"/>
      <c r="R286" s="60" t="n"/>
      <c r="S286" s="60" t="n"/>
      <c r="T286" s="61" t="n"/>
      <c r="U286" s="61" t="n"/>
      <c r="V286" s="60" t="n"/>
      <c r="W286" s="60" t="n"/>
      <c r="X286" s="60" t="n"/>
      <c r="Y286" s="60" t="n"/>
      <c r="Z286" s="61" t="n"/>
      <c r="AA286" s="60" t="n"/>
      <c r="AB286" s="60" t="n"/>
      <c r="AC286" s="60" t="n"/>
      <c r="AD286" s="60" t="n"/>
      <c r="AE286" s="63">
        <f>IF($G286="","",TODAY()-$G286)</f>
        <v/>
      </c>
      <c r="AF286" s="63">
        <f>IF($A286="","",IF($M286&gt;0,"Yes","No"))</f>
        <v/>
      </c>
      <c r="AG286" s="63">
        <f>IF($A286="","",IF(AND($E286="Yes",OR($AA286="No",$AA286="NOT FOUND")),"YES",""))</f>
        <v/>
      </c>
      <c r="AH286" s="66">
        <f>IF($A286="","",TRIM(IF(AND($Y286=0,$I286&lt;&gt;"Yes"),"T0-NoPhishResistant ","")&amp;IF($H286="No","NoMFA ","")&amp;IF(AND($Y286=0,$M286&gt;0),"T0-Standing ","")&amp;IF(AND($Y286=0,$S286="Group only"),"T0-ViaGroupOnly ","")&amp;IF($R286="Yes","BroadAzureScope ","")&amp;IF(AND($E286="Yes",$G286=""),"NeverSignedIn ","")))</f>
        <v/>
      </c>
      <c r="AI286" s="60" t="n"/>
      <c r="AJ286" s="61" t="n"/>
      <c r="AK286" s="60" t="n"/>
      <c r="AL286" s="62" t="n"/>
      <c r="AM286" s="62" t="n"/>
      <c r="AN286" s="62" t="n"/>
      <c r="AO286" s="60" t="n"/>
      <c r="AP286" s="61" t="n"/>
      <c r="AQ286" s="63">
        <f>IF($A286="","",IF(AM286="","Not Enrolled",IF(TODAY()&gt;AM286,"Review Overdue",IF(AM286-TODAY()&lt;=30,"Review Due Soon","Active"))))</f>
        <v/>
      </c>
      <c r="AR286" s="63">
        <f>IF($A286="","",IF(AN286="","NOT REVIEWED",IF(TODAY()-AN286&gt;90,"OVERDUE",IF(TODAY()-AN286&gt;76,"Due Soon","Current"))))</f>
        <v/>
      </c>
    </row>
    <row r="287" ht="15" customHeight="1" s="39">
      <c r="A287" s="61" t="n"/>
      <c r="B287" s="60" t="n"/>
      <c r="C287" s="61" t="n"/>
      <c r="D287" s="60" t="n"/>
      <c r="E287" s="60" t="n"/>
      <c r="F287" s="62" t="n"/>
      <c r="G287" s="62" t="n"/>
      <c r="H287" s="60" t="n"/>
      <c r="I287" s="60" t="n"/>
      <c r="J287" s="61" t="n"/>
      <c r="K287" s="61" t="n"/>
      <c r="L287" s="61" t="n"/>
      <c r="M287" s="60" t="n"/>
      <c r="N287" s="60" t="n"/>
      <c r="O287" s="60" t="n"/>
      <c r="P287" s="61" t="n"/>
      <c r="Q287" s="60" t="n"/>
      <c r="R287" s="60" t="n"/>
      <c r="S287" s="60" t="n"/>
      <c r="T287" s="61" t="n"/>
      <c r="U287" s="61" t="n"/>
      <c r="V287" s="60" t="n"/>
      <c r="W287" s="60" t="n"/>
      <c r="X287" s="60" t="n"/>
      <c r="Y287" s="60" t="n"/>
      <c r="Z287" s="61" t="n"/>
      <c r="AA287" s="60" t="n"/>
      <c r="AB287" s="60" t="n"/>
      <c r="AC287" s="60" t="n"/>
      <c r="AD287" s="60" t="n"/>
      <c r="AE287" s="63">
        <f>IF($G287="","",TODAY()-$G287)</f>
        <v/>
      </c>
      <c r="AF287" s="63">
        <f>IF($A287="","",IF($M287&gt;0,"Yes","No"))</f>
        <v/>
      </c>
      <c r="AG287" s="63">
        <f>IF($A287="","",IF(AND($E287="Yes",OR($AA287="No",$AA287="NOT FOUND")),"YES",""))</f>
        <v/>
      </c>
      <c r="AH287" s="66">
        <f>IF($A287="","",TRIM(IF(AND($Y287=0,$I287&lt;&gt;"Yes"),"T0-NoPhishResistant ","")&amp;IF($H287="No","NoMFA ","")&amp;IF(AND($Y287=0,$M287&gt;0),"T0-Standing ","")&amp;IF(AND($Y287=0,$S287="Group only"),"T0-ViaGroupOnly ","")&amp;IF($R287="Yes","BroadAzureScope ","")&amp;IF(AND($E287="Yes",$G287=""),"NeverSignedIn ","")))</f>
        <v/>
      </c>
      <c r="AI287" s="60" t="n"/>
      <c r="AJ287" s="61" t="n"/>
      <c r="AK287" s="60" t="n"/>
      <c r="AL287" s="62" t="n"/>
      <c r="AM287" s="62" t="n"/>
      <c r="AN287" s="62" t="n"/>
      <c r="AO287" s="60" t="n"/>
      <c r="AP287" s="61" t="n"/>
      <c r="AQ287" s="63">
        <f>IF($A287="","",IF(AM287="","Not Enrolled",IF(TODAY()&gt;AM287,"Review Overdue",IF(AM287-TODAY()&lt;=30,"Review Due Soon","Active"))))</f>
        <v/>
      </c>
      <c r="AR287" s="63">
        <f>IF($A287="","",IF(AN287="","NOT REVIEWED",IF(TODAY()-AN287&gt;90,"OVERDUE",IF(TODAY()-AN287&gt;76,"Due Soon","Current"))))</f>
        <v/>
      </c>
    </row>
    <row r="288" ht="15" customHeight="1" s="39">
      <c r="A288" s="61" t="n"/>
      <c r="B288" s="60" t="n"/>
      <c r="C288" s="61" t="n"/>
      <c r="D288" s="60" t="n"/>
      <c r="E288" s="60" t="n"/>
      <c r="F288" s="62" t="n"/>
      <c r="G288" s="62" t="n"/>
      <c r="H288" s="60" t="n"/>
      <c r="I288" s="60" t="n"/>
      <c r="J288" s="61" t="n"/>
      <c r="K288" s="61" t="n"/>
      <c r="L288" s="61" t="n"/>
      <c r="M288" s="60" t="n"/>
      <c r="N288" s="60" t="n"/>
      <c r="O288" s="60" t="n"/>
      <c r="P288" s="61" t="n"/>
      <c r="Q288" s="60" t="n"/>
      <c r="R288" s="60" t="n"/>
      <c r="S288" s="60" t="n"/>
      <c r="T288" s="61" t="n"/>
      <c r="U288" s="61" t="n"/>
      <c r="V288" s="60" t="n"/>
      <c r="W288" s="60" t="n"/>
      <c r="X288" s="60" t="n"/>
      <c r="Y288" s="60" t="n"/>
      <c r="Z288" s="61" t="n"/>
      <c r="AA288" s="60" t="n"/>
      <c r="AB288" s="60" t="n"/>
      <c r="AC288" s="60" t="n"/>
      <c r="AD288" s="60" t="n"/>
      <c r="AE288" s="63">
        <f>IF($G288="","",TODAY()-$G288)</f>
        <v/>
      </c>
      <c r="AF288" s="63">
        <f>IF($A288="","",IF($M288&gt;0,"Yes","No"))</f>
        <v/>
      </c>
      <c r="AG288" s="63">
        <f>IF($A288="","",IF(AND($E288="Yes",OR($AA288="No",$AA288="NOT FOUND")),"YES",""))</f>
        <v/>
      </c>
      <c r="AH288" s="66">
        <f>IF($A288="","",TRIM(IF(AND($Y288=0,$I288&lt;&gt;"Yes"),"T0-NoPhishResistant ","")&amp;IF($H288="No","NoMFA ","")&amp;IF(AND($Y288=0,$M288&gt;0),"T0-Standing ","")&amp;IF(AND($Y288=0,$S288="Group only"),"T0-ViaGroupOnly ","")&amp;IF($R288="Yes","BroadAzureScope ","")&amp;IF(AND($E288="Yes",$G288=""),"NeverSignedIn ","")))</f>
        <v/>
      </c>
      <c r="AI288" s="60" t="n"/>
      <c r="AJ288" s="61" t="n"/>
      <c r="AK288" s="60" t="n"/>
      <c r="AL288" s="62" t="n"/>
      <c r="AM288" s="62" t="n"/>
      <c r="AN288" s="62" t="n"/>
      <c r="AO288" s="60" t="n"/>
      <c r="AP288" s="61" t="n"/>
      <c r="AQ288" s="63">
        <f>IF($A288="","",IF(AM288="","Not Enrolled",IF(TODAY()&gt;AM288,"Review Overdue",IF(AM288-TODAY()&lt;=30,"Review Due Soon","Active"))))</f>
        <v/>
      </c>
      <c r="AR288" s="63">
        <f>IF($A288="","",IF(AN288="","NOT REVIEWED",IF(TODAY()-AN288&gt;90,"OVERDUE",IF(TODAY()-AN288&gt;76,"Due Soon","Current"))))</f>
        <v/>
      </c>
    </row>
    <row r="289" ht="15" customHeight="1" s="39">
      <c r="A289" s="61" t="n"/>
      <c r="B289" s="60" t="n"/>
      <c r="C289" s="61" t="n"/>
      <c r="D289" s="60" t="n"/>
      <c r="E289" s="60" t="n"/>
      <c r="F289" s="62" t="n"/>
      <c r="G289" s="62" t="n"/>
      <c r="H289" s="60" t="n"/>
      <c r="I289" s="60" t="n"/>
      <c r="J289" s="61" t="n"/>
      <c r="K289" s="61" t="n"/>
      <c r="L289" s="61" t="n"/>
      <c r="M289" s="60" t="n"/>
      <c r="N289" s="60" t="n"/>
      <c r="O289" s="60" t="n"/>
      <c r="P289" s="61" t="n"/>
      <c r="Q289" s="60" t="n"/>
      <c r="R289" s="60" t="n"/>
      <c r="S289" s="60" t="n"/>
      <c r="T289" s="61" t="n"/>
      <c r="U289" s="61" t="n"/>
      <c r="V289" s="60" t="n"/>
      <c r="W289" s="60" t="n"/>
      <c r="X289" s="60" t="n"/>
      <c r="Y289" s="60" t="n"/>
      <c r="Z289" s="61" t="n"/>
      <c r="AA289" s="60" t="n"/>
      <c r="AB289" s="60" t="n"/>
      <c r="AC289" s="60" t="n"/>
      <c r="AD289" s="60" t="n"/>
      <c r="AE289" s="63">
        <f>IF($G289="","",TODAY()-$G289)</f>
        <v/>
      </c>
      <c r="AF289" s="63">
        <f>IF($A289="","",IF($M289&gt;0,"Yes","No"))</f>
        <v/>
      </c>
      <c r="AG289" s="63">
        <f>IF($A289="","",IF(AND($E289="Yes",OR($AA289="No",$AA289="NOT FOUND")),"YES",""))</f>
        <v/>
      </c>
      <c r="AH289" s="66">
        <f>IF($A289="","",TRIM(IF(AND($Y289=0,$I289&lt;&gt;"Yes"),"T0-NoPhishResistant ","")&amp;IF($H289="No","NoMFA ","")&amp;IF(AND($Y289=0,$M289&gt;0),"T0-Standing ","")&amp;IF(AND($Y289=0,$S289="Group only"),"T0-ViaGroupOnly ","")&amp;IF($R289="Yes","BroadAzureScope ","")&amp;IF(AND($E289="Yes",$G289=""),"NeverSignedIn ","")))</f>
        <v/>
      </c>
      <c r="AI289" s="60" t="n"/>
      <c r="AJ289" s="61" t="n"/>
      <c r="AK289" s="60" t="n"/>
      <c r="AL289" s="62" t="n"/>
      <c r="AM289" s="62" t="n"/>
      <c r="AN289" s="62" t="n"/>
      <c r="AO289" s="60" t="n"/>
      <c r="AP289" s="61" t="n"/>
      <c r="AQ289" s="63">
        <f>IF($A289="","",IF(AM289="","Not Enrolled",IF(TODAY()&gt;AM289,"Review Overdue",IF(AM289-TODAY()&lt;=30,"Review Due Soon","Active"))))</f>
        <v/>
      </c>
      <c r="AR289" s="63">
        <f>IF($A289="","",IF(AN289="","NOT REVIEWED",IF(TODAY()-AN289&gt;90,"OVERDUE",IF(TODAY()-AN289&gt;76,"Due Soon","Current"))))</f>
        <v/>
      </c>
    </row>
    <row r="290" ht="15" customHeight="1" s="39">
      <c r="A290" s="61" t="n"/>
      <c r="B290" s="60" t="n"/>
      <c r="C290" s="61" t="n"/>
      <c r="D290" s="60" t="n"/>
      <c r="E290" s="60" t="n"/>
      <c r="F290" s="62" t="n"/>
      <c r="G290" s="62" t="n"/>
      <c r="H290" s="60" t="n"/>
      <c r="I290" s="60" t="n"/>
      <c r="J290" s="61" t="n"/>
      <c r="K290" s="61" t="n"/>
      <c r="L290" s="61" t="n"/>
      <c r="M290" s="60" t="n"/>
      <c r="N290" s="60" t="n"/>
      <c r="O290" s="60" t="n"/>
      <c r="P290" s="61" t="n"/>
      <c r="Q290" s="60" t="n"/>
      <c r="R290" s="60" t="n"/>
      <c r="S290" s="60" t="n"/>
      <c r="T290" s="61" t="n"/>
      <c r="U290" s="61" t="n"/>
      <c r="V290" s="60" t="n"/>
      <c r="W290" s="60" t="n"/>
      <c r="X290" s="60" t="n"/>
      <c r="Y290" s="60" t="n"/>
      <c r="Z290" s="61" t="n"/>
      <c r="AA290" s="60" t="n"/>
      <c r="AB290" s="60" t="n"/>
      <c r="AC290" s="60" t="n"/>
      <c r="AD290" s="60" t="n"/>
      <c r="AE290" s="63">
        <f>IF($G290="","",TODAY()-$G290)</f>
        <v/>
      </c>
      <c r="AF290" s="63">
        <f>IF($A290="","",IF($M290&gt;0,"Yes","No"))</f>
        <v/>
      </c>
      <c r="AG290" s="63">
        <f>IF($A290="","",IF(AND($E290="Yes",OR($AA290="No",$AA290="NOT FOUND")),"YES",""))</f>
        <v/>
      </c>
      <c r="AH290" s="66">
        <f>IF($A290="","",TRIM(IF(AND($Y290=0,$I290&lt;&gt;"Yes"),"T0-NoPhishResistant ","")&amp;IF($H290="No","NoMFA ","")&amp;IF(AND($Y290=0,$M290&gt;0),"T0-Standing ","")&amp;IF(AND($Y290=0,$S290="Group only"),"T0-ViaGroupOnly ","")&amp;IF($R290="Yes","BroadAzureScope ","")&amp;IF(AND($E290="Yes",$G290=""),"NeverSignedIn ","")))</f>
        <v/>
      </c>
      <c r="AI290" s="60" t="n"/>
      <c r="AJ290" s="61" t="n"/>
      <c r="AK290" s="60" t="n"/>
      <c r="AL290" s="62" t="n"/>
      <c r="AM290" s="62" t="n"/>
      <c r="AN290" s="62" t="n"/>
      <c r="AO290" s="60" t="n"/>
      <c r="AP290" s="61" t="n"/>
      <c r="AQ290" s="63">
        <f>IF($A290="","",IF(AM290="","Not Enrolled",IF(TODAY()&gt;AM290,"Review Overdue",IF(AM290-TODAY()&lt;=30,"Review Due Soon","Active"))))</f>
        <v/>
      </c>
      <c r="AR290" s="63">
        <f>IF($A290="","",IF(AN290="","NOT REVIEWED",IF(TODAY()-AN290&gt;90,"OVERDUE",IF(TODAY()-AN290&gt;76,"Due Soon","Current"))))</f>
        <v/>
      </c>
    </row>
    <row r="291" ht="15" customHeight="1" s="39">
      <c r="A291" s="61" t="n"/>
      <c r="B291" s="60" t="n"/>
      <c r="C291" s="61" t="n"/>
      <c r="D291" s="60" t="n"/>
      <c r="E291" s="60" t="n"/>
      <c r="F291" s="62" t="n"/>
      <c r="G291" s="62" t="n"/>
      <c r="H291" s="60" t="n"/>
      <c r="I291" s="60" t="n"/>
      <c r="J291" s="61" t="n"/>
      <c r="K291" s="61" t="n"/>
      <c r="L291" s="61" t="n"/>
      <c r="M291" s="60" t="n"/>
      <c r="N291" s="60" t="n"/>
      <c r="O291" s="60" t="n"/>
      <c r="P291" s="61" t="n"/>
      <c r="Q291" s="60" t="n"/>
      <c r="R291" s="60" t="n"/>
      <c r="S291" s="60" t="n"/>
      <c r="T291" s="61" t="n"/>
      <c r="U291" s="61" t="n"/>
      <c r="V291" s="60" t="n"/>
      <c r="W291" s="60" t="n"/>
      <c r="X291" s="60" t="n"/>
      <c r="Y291" s="60" t="n"/>
      <c r="Z291" s="61" t="n"/>
      <c r="AA291" s="60" t="n"/>
      <c r="AB291" s="60" t="n"/>
      <c r="AC291" s="60" t="n"/>
      <c r="AD291" s="60" t="n"/>
      <c r="AE291" s="63">
        <f>IF($G291="","",TODAY()-$G291)</f>
        <v/>
      </c>
      <c r="AF291" s="63">
        <f>IF($A291="","",IF($M291&gt;0,"Yes","No"))</f>
        <v/>
      </c>
      <c r="AG291" s="63">
        <f>IF($A291="","",IF(AND($E291="Yes",OR($AA291="No",$AA291="NOT FOUND")),"YES",""))</f>
        <v/>
      </c>
      <c r="AH291" s="66">
        <f>IF($A291="","",TRIM(IF(AND($Y291=0,$I291&lt;&gt;"Yes"),"T0-NoPhishResistant ","")&amp;IF($H291="No","NoMFA ","")&amp;IF(AND($Y291=0,$M291&gt;0),"T0-Standing ","")&amp;IF(AND($Y291=0,$S291="Group only"),"T0-ViaGroupOnly ","")&amp;IF($R291="Yes","BroadAzureScope ","")&amp;IF(AND($E291="Yes",$G291=""),"NeverSignedIn ","")))</f>
        <v/>
      </c>
      <c r="AI291" s="60" t="n"/>
      <c r="AJ291" s="61" t="n"/>
      <c r="AK291" s="60" t="n"/>
      <c r="AL291" s="62" t="n"/>
      <c r="AM291" s="62" t="n"/>
      <c r="AN291" s="62" t="n"/>
      <c r="AO291" s="60" t="n"/>
      <c r="AP291" s="61" t="n"/>
      <c r="AQ291" s="63">
        <f>IF($A291="","",IF(AM291="","Not Enrolled",IF(TODAY()&gt;AM291,"Review Overdue",IF(AM291-TODAY()&lt;=30,"Review Due Soon","Active"))))</f>
        <v/>
      </c>
      <c r="AR291" s="63">
        <f>IF($A291="","",IF(AN291="","NOT REVIEWED",IF(TODAY()-AN291&gt;90,"OVERDUE",IF(TODAY()-AN291&gt;76,"Due Soon","Current"))))</f>
        <v/>
      </c>
    </row>
    <row r="292" ht="15" customHeight="1" s="39">
      <c r="A292" s="61" t="n"/>
      <c r="B292" s="60" t="n"/>
      <c r="C292" s="61" t="n"/>
      <c r="D292" s="60" t="n"/>
      <c r="E292" s="60" t="n"/>
      <c r="F292" s="62" t="n"/>
      <c r="G292" s="62" t="n"/>
      <c r="H292" s="60" t="n"/>
      <c r="I292" s="60" t="n"/>
      <c r="J292" s="61" t="n"/>
      <c r="K292" s="61" t="n"/>
      <c r="L292" s="61" t="n"/>
      <c r="M292" s="60" t="n"/>
      <c r="N292" s="60" t="n"/>
      <c r="O292" s="60" t="n"/>
      <c r="P292" s="61" t="n"/>
      <c r="Q292" s="60" t="n"/>
      <c r="R292" s="60" t="n"/>
      <c r="S292" s="60" t="n"/>
      <c r="T292" s="61" t="n"/>
      <c r="U292" s="61" t="n"/>
      <c r="V292" s="60" t="n"/>
      <c r="W292" s="60" t="n"/>
      <c r="X292" s="60" t="n"/>
      <c r="Y292" s="60" t="n"/>
      <c r="Z292" s="61" t="n"/>
      <c r="AA292" s="60" t="n"/>
      <c r="AB292" s="60" t="n"/>
      <c r="AC292" s="60" t="n"/>
      <c r="AD292" s="60" t="n"/>
      <c r="AE292" s="63">
        <f>IF($G292="","",TODAY()-$G292)</f>
        <v/>
      </c>
      <c r="AF292" s="63">
        <f>IF($A292="","",IF($M292&gt;0,"Yes","No"))</f>
        <v/>
      </c>
      <c r="AG292" s="63">
        <f>IF($A292="","",IF(AND($E292="Yes",OR($AA292="No",$AA292="NOT FOUND")),"YES",""))</f>
        <v/>
      </c>
      <c r="AH292" s="66">
        <f>IF($A292="","",TRIM(IF(AND($Y292=0,$I292&lt;&gt;"Yes"),"T0-NoPhishResistant ","")&amp;IF($H292="No","NoMFA ","")&amp;IF(AND($Y292=0,$M292&gt;0),"T0-Standing ","")&amp;IF(AND($Y292=0,$S292="Group only"),"T0-ViaGroupOnly ","")&amp;IF($R292="Yes","BroadAzureScope ","")&amp;IF(AND($E292="Yes",$G292=""),"NeverSignedIn ","")))</f>
        <v/>
      </c>
      <c r="AI292" s="60" t="n"/>
      <c r="AJ292" s="61" t="n"/>
      <c r="AK292" s="60" t="n"/>
      <c r="AL292" s="62" t="n"/>
      <c r="AM292" s="62" t="n"/>
      <c r="AN292" s="62" t="n"/>
      <c r="AO292" s="60" t="n"/>
      <c r="AP292" s="61" t="n"/>
      <c r="AQ292" s="63">
        <f>IF($A292="","",IF(AM292="","Not Enrolled",IF(TODAY()&gt;AM292,"Review Overdue",IF(AM292-TODAY()&lt;=30,"Review Due Soon","Active"))))</f>
        <v/>
      </c>
      <c r="AR292" s="63">
        <f>IF($A292="","",IF(AN292="","NOT REVIEWED",IF(TODAY()-AN292&gt;90,"OVERDUE",IF(TODAY()-AN292&gt;76,"Due Soon","Current"))))</f>
        <v/>
      </c>
    </row>
    <row r="293" ht="15" customHeight="1" s="39">
      <c r="A293" s="61" t="n"/>
      <c r="B293" s="60" t="n"/>
      <c r="C293" s="61" t="n"/>
      <c r="D293" s="60" t="n"/>
      <c r="E293" s="60" t="n"/>
      <c r="F293" s="62" t="n"/>
      <c r="G293" s="62" t="n"/>
      <c r="H293" s="60" t="n"/>
      <c r="I293" s="60" t="n"/>
      <c r="J293" s="61" t="n"/>
      <c r="K293" s="61" t="n"/>
      <c r="L293" s="61" t="n"/>
      <c r="M293" s="60" t="n"/>
      <c r="N293" s="60" t="n"/>
      <c r="O293" s="60" t="n"/>
      <c r="P293" s="61" t="n"/>
      <c r="Q293" s="60" t="n"/>
      <c r="R293" s="60" t="n"/>
      <c r="S293" s="60" t="n"/>
      <c r="T293" s="61" t="n"/>
      <c r="U293" s="61" t="n"/>
      <c r="V293" s="60" t="n"/>
      <c r="W293" s="60" t="n"/>
      <c r="X293" s="60" t="n"/>
      <c r="Y293" s="60" t="n"/>
      <c r="Z293" s="61" t="n"/>
      <c r="AA293" s="60" t="n"/>
      <c r="AB293" s="60" t="n"/>
      <c r="AC293" s="60" t="n"/>
      <c r="AD293" s="60" t="n"/>
      <c r="AE293" s="63">
        <f>IF($G293="","",TODAY()-$G293)</f>
        <v/>
      </c>
      <c r="AF293" s="63">
        <f>IF($A293="","",IF($M293&gt;0,"Yes","No"))</f>
        <v/>
      </c>
      <c r="AG293" s="63">
        <f>IF($A293="","",IF(AND($E293="Yes",OR($AA293="No",$AA293="NOT FOUND")),"YES",""))</f>
        <v/>
      </c>
      <c r="AH293" s="66">
        <f>IF($A293="","",TRIM(IF(AND($Y293=0,$I293&lt;&gt;"Yes"),"T0-NoPhishResistant ","")&amp;IF($H293="No","NoMFA ","")&amp;IF(AND($Y293=0,$M293&gt;0),"T0-Standing ","")&amp;IF(AND($Y293=0,$S293="Group only"),"T0-ViaGroupOnly ","")&amp;IF($R293="Yes","BroadAzureScope ","")&amp;IF(AND($E293="Yes",$G293=""),"NeverSignedIn ","")))</f>
        <v/>
      </c>
      <c r="AI293" s="60" t="n"/>
      <c r="AJ293" s="61" t="n"/>
      <c r="AK293" s="60" t="n"/>
      <c r="AL293" s="62" t="n"/>
      <c r="AM293" s="62" t="n"/>
      <c r="AN293" s="62" t="n"/>
      <c r="AO293" s="60" t="n"/>
      <c r="AP293" s="61" t="n"/>
      <c r="AQ293" s="63">
        <f>IF($A293="","",IF(AM293="","Not Enrolled",IF(TODAY()&gt;AM293,"Review Overdue",IF(AM293-TODAY()&lt;=30,"Review Due Soon","Active"))))</f>
        <v/>
      </c>
      <c r="AR293" s="63">
        <f>IF($A293="","",IF(AN293="","NOT REVIEWED",IF(TODAY()-AN293&gt;90,"OVERDUE",IF(TODAY()-AN293&gt;76,"Due Soon","Current"))))</f>
        <v/>
      </c>
    </row>
    <row r="294" ht="15" customHeight="1" s="39">
      <c r="A294" s="61" t="n"/>
      <c r="B294" s="60" t="n"/>
      <c r="C294" s="61" t="n"/>
      <c r="D294" s="60" t="n"/>
      <c r="E294" s="60" t="n"/>
      <c r="F294" s="62" t="n"/>
      <c r="G294" s="62" t="n"/>
      <c r="H294" s="60" t="n"/>
      <c r="I294" s="60" t="n"/>
      <c r="J294" s="61" t="n"/>
      <c r="K294" s="61" t="n"/>
      <c r="L294" s="61" t="n"/>
      <c r="M294" s="60" t="n"/>
      <c r="N294" s="60" t="n"/>
      <c r="O294" s="60" t="n"/>
      <c r="P294" s="61" t="n"/>
      <c r="Q294" s="60" t="n"/>
      <c r="R294" s="60" t="n"/>
      <c r="S294" s="60" t="n"/>
      <c r="T294" s="61" t="n"/>
      <c r="U294" s="61" t="n"/>
      <c r="V294" s="60" t="n"/>
      <c r="W294" s="60" t="n"/>
      <c r="X294" s="60" t="n"/>
      <c r="Y294" s="60" t="n"/>
      <c r="Z294" s="61" t="n"/>
      <c r="AA294" s="60" t="n"/>
      <c r="AB294" s="60" t="n"/>
      <c r="AC294" s="60" t="n"/>
      <c r="AD294" s="60" t="n"/>
      <c r="AE294" s="63">
        <f>IF($G294="","",TODAY()-$G294)</f>
        <v/>
      </c>
      <c r="AF294" s="63">
        <f>IF($A294="","",IF($M294&gt;0,"Yes","No"))</f>
        <v/>
      </c>
      <c r="AG294" s="63">
        <f>IF($A294="","",IF(AND($E294="Yes",OR($AA294="No",$AA294="NOT FOUND")),"YES",""))</f>
        <v/>
      </c>
      <c r="AH294" s="66">
        <f>IF($A294="","",TRIM(IF(AND($Y294=0,$I294&lt;&gt;"Yes"),"T0-NoPhishResistant ","")&amp;IF($H294="No","NoMFA ","")&amp;IF(AND($Y294=0,$M294&gt;0),"T0-Standing ","")&amp;IF(AND($Y294=0,$S294="Group only"),"T0-ViaGroupOnly ","")&amp;IF($R294="Yes","BroadAzureScope ","")&amp;IF(AND($E294="Yes",$G294=""),"NeverSignedIn ","")))</f>
        <v/>
      </c>
      <c r="AI294" s="60" t="n"/>
      <c r="AJ294" s="61" t="n"/>
      <c r="AK294" s="60" t="n"/>
      <c r="AL294" s="62" t="n"/>
      <c r="AM294" s="62" t="n"/>
      <c r="AN294" s="62" t="n"/>
      <c r="AO294" s="60" t="n"/>
      <c r="AP294" s="61" t="n"/>
      <c r="AQ294" s="63">
        <f>IF($A294="","",IF(AM294="","Not Enrolled",IF(TODAY()&gt;AM294,"Review Overdue",IF(AM294-TODAY()&lt;=30,"Review Due Soon","Active"))))</f>
        <v/>
      </c>
      <c r="AR294" s="63">
        <f>IF($A294="","",IF(AN294="","NOT REVIEWED",IF(TODAY()-AN294&gt;90,"OVERDUE",IF(TODAY()-AN294&gt;76,"Due Soon","Current"))))</f>
        <v/>
      </c>
    </row>
    <row r="295" ht="15" customHeight="1" s="39">
      <c r="A295" s="61" t="n"/>
      <c r="B295" s="60" t="n"/>
      <c r="C295" s="61" t="n"/>
      <c r="D295" s="60" t="n"/>
      <c r="E295" s="60" t="n"/>
      <c r="F295" s="62" t="n"/>
      <c r="G295" s="62" t="n"/>
      <c r="H295" s="60" t="n"/>
      <c r="I295" s="60" t="n"/>
      <c r="J295" s="61" t="n"/>
      <c r="K295" s="61" t="n"/>
      <c r="L295" s="61" t="n"/>
      <c r="M295" s="60" t="n"/>
      <c r="N295" s="60" t="n"/>
      <c r="O295" s="60" t="n"/>
      <c r="P295" s="61" t="n"/>
      <c r="Q295" s="60" t="n"/>
      <c r="R295" s="60" t="n"/>
      <c r="S295" s="60" t="n"/>
      <c r="T295" s="61" t="n"/>
      <c r="U295" s="61" t="n"/>
      <c r="V295" s="60" t="n"/>
      <c r="W295" s="60" t="n"/>
      <c r="X295" s="60" t="n"/>
      <c r="Y295" s="60" t="n"/>
      <c r="Z295" s="61" t="n"/>
      <c r="AA295" s="60" t="n"/>
      <c r="AB295" s="60" t="n"/>
      <c r="AC295" s="60" t="n"/>
      <c r="AD295" s="60" t="n"/>
      <c r="AE295" s="63">
        <f>IF($G295="","",TODAY()-$G295)</f>
        <v/>
      </c>
      <c r="AF295" s="63">
        <f>IF($A295="","",IF($M295&gt;0,"Yes","No"))</f>
        <v/>
      </c>
      <c r="AG295" s="63">
        <f>IF($A295="","",IF(AND($E295="Yes",OR($AA295="No",$AA295="NOT FOUND")),"YES",""))</f>
        <v/>
      </c>
      <c r="AH295" s="66">
        <f>IF($A295="","",TRIM(IF(AND($Y295=0,$I295&lt;&gt;"Yes"),"T0-NoPhishResistant ","")&amp;IF($H295="No","NoMFA ","")&amp;IF(AND($Y295=0,$M295&gt;0),"T0-Standing ","")&amp;IF(AND($Y295=0,$S295="Group only"),"T0-ViaGroupOnly ","")&amp;IF($R295="Yes","BroadAzureScope ","")&amp;IF(AND($E295="Yes",$G295=""),"NeverSignedIn ","")))</f>
        <v/>
      </c>
      <c r="AI295" s="60" t="n"/>
      <c r="AJ295" s="61" t="n"/>
      <c r="AK295" s="60" t="n"/>
      <c r="AL295" s="62" t="n"/>
      <c r="AM295" s="62" t="n"/>
      <c r="AN295" s="62" t="n"/>
      <c r="AO295" s="60" t="n"/>
      <c r="AP295" s="61" t="n"/>
      <c r="AQ295" s="63">
        <f>IF($A295="","",IF(AM295="","Not Enrolled",IF(TODAY()&gt;AM295,"Review Overdue",IF(AM295-TODAY()&lt;=30,"Review Due Soon","Active"))))</f>
        <v/>
      </c>
      <c r="AR295" s="63">
        <f>IF($A295="","",IF(AN295="","NOT REVIEWED",IF(TODAY()-AN295&gt;90,"OVERDUE",IF(TODAY()-AN295&gt;76,"Due Soon","Current"))))</f>
        <v/>
      </c>
    </row>
    <row r="296" ht="15" customHeight="1" s="39">
      <c r="A296" s="61" t="n"/>
      <c r="B296" s="60" t="n"/>
      <c r="C296" s="61" t="n"/>
      <c r="D296" s="60" t="n"/>
      <c r="E296" s="60" t="n"/>
      <c r="F296" s="62" t="n"/>
      <c r="G296" s="62" t="n"/>
      <c r="H296" s="60" t="n"/>
      <c r="I296" s="60" t="n"/>
      <c r="J296" s="61" t="n"/>
      <c r="K296" s="61" t="n"/>
      <c r="L296" s="61" t="n"/>
      <c r="M296" s="60" t="n"/>
      <c r="N296" s="60" t="n"/>
      <c r="O296" s="60" t="n"/>
      <c r="P296" s="61" t="n"/>
      <c r="Q296" s="60" t="n"/>
      <c r="R296" s="60" t="n"/>
      <c r="S296" s="60" t="n"/>
      <c r="T296" s="61" t="n"/>
      <c r="U296" s="61" t="n"/>
      <c r="V296" s="60" t="n"/>
      <c r="W296" s="60" t="n"/>
      <c r="X296" s="60" t="n"/>
      <c r="Y296" s="60" t="n"/>
      <c r="Z296" s="61" t="n"/>
      <c r="AA296" s="60" t="n"/>
      <c r="AB296" s="60" t="n"/>
      <c r="AC296" s="60" t="n"/>
      <c r="AD296" s="60" t="n"/>
      <c r="AE296" s="63">
        <f>IF($G296="","",TODAY()-$G296)</f>
        <v/>
      </c>
      <c r="AF296" s="63">
        <f>IF($A296="","",IF($M296&gt;0,"Yes","No"))</f>
        <v/>
      </c>
      <c r="AG296" s="63">
        <f>IF($A296="","",IF(AND($E296="Yes",OR($AA296="No",$AA296="NOT FOUND")),"YES",""))</f>
        <v/>
      </c>
      <c r="AH296" s="66">
        <f>IF($A296="","",TRIM(IF(AND($Y296=0,$I296&lt;&gt;"Yes"),"T0-NoPhishResistant ","")&amp;IF($H296="No","NoMFA ","")&amp;IF(AND($Y296=0,$M296&gt;0),"T0-Standing ","")&amp;IF(AND($Y296=0,$S296="Group only"),"T0-ViaGroupOnly ","")&amp;IF($R296="Yes","BroadAzureScope ","")&amp;IF(AND($E296="Yes",$G296=""),"NeverSignedIn ","")))</f>
        <v/>
      </c>
      <c r="AI296" s="60" t="n"/>
      <c r="AJ296" s="61" t="n"/>
      <c r="AK296" s="60" t="n"/>
      <c r="AL296" s="62" t="n"/>
      <c r="AM296" s="62" t="n"/>
      <c r="AN296" s="62" t="n"/>
      <c r="AO296" s="60" t="n"/>
      <c r="AP296" s="61" t="n"/>
      <c r="AQ296" s="63">
        <f>IF($A296="","",IF(AM296="","Not Enrolled",IF(TODAY()&gt;AM296,"Review Overdue",IF(AM296-TODAY()&lt;=30,"Review Due Soon","Active"))))</f>
        <v/>
      </c>
      <c r="AR296" s="63">
        <f>IF($A296="","",IF(AN296="","NOT REVIEWED",IF(TODAY()-AN296&gt;90,"OVERDUE",IF(TODAY()-AN296&gt;76,"Due Soon","Current"))))</f>
        <v/>
      </c>
    </row>
    <row r="297" ht="15" customHeight="1" s="39">
      <c r="A297" s="61" t="n"/>
      <c r="B297" s="60" t="n"/>
      <c r="C297" s="61" t="n"/>
      <c r="D297" s="60" t="n"/>
      <c r="E297" s="60" t="n"/>
      <c r="F297" s="62" t="n"/>
      <c r="G297" s="62" t="n"/>
      <c r="H297" s="60" t="n"/>
      <c r="I297" s="60" t="n"/>
      <c r="J297" s="61" t="n"/>
      <c r="K297" s="61" t="n"/>
      <c r="L297" s="61" t="n"/>
      <c r="M297" s="60" t="n"/>
      <c r="N297" s="60" t="n"/>
      <c r="O297" s="60" t="n"/>
      <c r="P297" s="61" t="n"/>
      <c r="Q297" s="60" t="n"/>
      <c r="R297" s="60" t="n"/>
      <c r="S297" s="60" t="n"/>
      <c r="T297" s="61" t="n"/>
      <c r="U297" s="61" t="n"/>
      <c r="V297" s="60" t="n"/>
      <c r="W297" s="60" t="n"/>
      <c r="X297" s="60" t="n"/>
      <c r="Y297" s="60" t="n"/>
      <c r="Z297" s="61" t="n"/>
      <c r="AA297" s="60" t="n"/>
      <c r="AB297" s="60" t="n"/>
      <c r="AC297" s="60" t="n"/>
      <c r="AD297" s="60" t="n"/>
      <c r="AE297" s="63">
        <f>IF($G297="","",TODAY()-$G297)</f>
        <v/>
      </c>
      <c r="AF297" s="63">
        <f>IF($A297="","",IF($M297&gt;0,"Yes","No"))</f>
        <v/>
      </c>
      <c r="AG297" s="63">
        <f>IF($A297="","",IF(AND($E297="Yes",OR($AA297="No",$AA297="NOT FOUND")),"YES",""))</f>
        <v/>
      </c>
      <c r="AH297" s="66">
        <f>IF($A297="","",TRIM(IF(AND($Y297=0,$I297&lt;&gt;"Yes"),"T0-NoPhishResistant ","")&amp;IF($H297="No","NoMFA ","")&amp;IF(AND($Y297=0,$M297&gt;0),"T0-Standing ","")&amp;IF(AND($Y297=0,$S297="Group only"),"T0-ViaGroupOnly ","")&amp;IF($R297="Yes","BroadAzureScope ","")&amp;IF(AND($E297="Yes",$G297=""),"NeverSignedIn ","")))</f>
        <v/>
      </c>
      <c r="AI297" s="60" t="n"/>
      <c r="AJ297" s="61" t="n"/>
      <c r="AK297" s="60" t="n"/>
      <c r="AL297" s="62" t="n"/>
      <c r="AM297" s="62" t="n"/>
      <c r="AN297" s="62" t="n"/>
      <c r="AO297" s="60" t="n"/>
      <c r="AP297" s="61" t="n"/>
      <c r="AQ297" s="63">
        <f>IF($A297="","",IF(AM297="","Not Enrolled",IF(TODAY()&gt;AM297,"Review Overdue",IF(AM297-TODAY()&lt;=30,"Review Due Soon","Active"))))</f>
        <v/>
      </c>
      <c r="AR297" s="63">
        <f>IF($A297="","",IF(AN297="","NOT REVIEWED",IF(TODAY()-AN297&gt;90,"OVERDUE",IF(TODAY()-AN297&gt;76,"Due Soon","Current"))))</f>
        <v/>
      </c>
    </row>
    <row r="298" ht="15" customHeight="1" s="39">
      <c r="A298" s="61" t="n"/>
      <c r="B298" s="60" t="n"/>
      <c r="C298" s="61" t="n"/>
      <c r="D298" s="60" t="n"/>
      <c r="E298" s="60" t="n"/>
      <c r="F298" s="62" t="n"/>
      <c r="G298" s="62" t="n"/>
      <c r="H298" s="60" t="n"/>
      <c r="I298" s="60" t="n"/>
      <c r="J298" s="61" t="n"/>
      <c r="K298" s="61" t="n"/>
      <c r="L298" s="61" t="n"/>
      <c r="M298" s="60" t="n"/>
      <c r="N298" s="60" t="n"/>
      <c r="O298" s="60" t="n"/>
      <c r="P298" s="61" t="n"/>
      <c r="Q298" s="60" t="n"/>
      <c r="R298" s="60" t="n"/>
      <c r="S298" s="60" t="n"/>
      <c r="T298" s="61" t="n"/>
      <c r="U298" s="61" t="n"/>
      <c r="V298" s="60" t="n"/>
      <c r="W298" s="60" t="n"/>
      <c r="X298" s="60" t="n"/>
      <c r="Y298" s="60" t="n"/>
      <c r="Z298" s="61" t="n"/>
      <c r="AA298" s="60" t="n"/>
      <c r="AB298" s="60" t="n"/>
      <c r="AC298" s="60" t="n"/>
      <c r="AD298" s="60" t="n"/>
      <c r="AE298" s="63">
        <f>IF($G298="","",TODAY()-$G298)</f>
        <v/>
      </c>
      <c r="AF298" s="63">
        <f>IF($A298="","",IF($M298&gt;0,"Yes","No"))</f>
        <v/>
      </c>
      <c r="AG298" s="63">
        <f>IF($A298="","",IF(AND($E298="Yes",OR($AA298="No",$AA298="NOT FOUND")),"YES",""))</f>
        <v/>
      </c>
      <c r="AH298" s="66">
        <f>IF($A298="","",TRIM(IF(AND($Y298=0,$I298&lt;&gt;"Yes"),"T0-NoPhishResistant ","")&amp;IF($H298="No","NoMFA ","")&amp;IF(AND($Y298=0,$M298&gt;0),"T0-Standing ","")&amp;IF(AND($Y298=0,$S298="Group only"),"T0-ViaGroupOnly ","")&amp;IF($R298="Yes","BroadAzureScope ","")&amp;IF(AND($E298="Yes",$G298=""),"NeverSignedIn ","")))</f>
        <v/>
      </c>
      <c r="AI298" s="60" t="n"/>
      <c r="AJ298" s="61" t="n"/>
      <c r="AK298" s="60" t="n"/>
      <c r="AL298" s="62" t="n"/>
      <c r="AM298" s="62" t="n"/>
      <c r="AN298" s="62" t="n"/>
      <c r="AO298" s="60" t="n"/>
      <c r="AP298" s="61" t="n"/>
      <c r="AQ298" s="63">
        <f>IF($A298="","",IF(AM298="","Not Enrolled",IF(TODAY()&gt;AM298,"Review Overdue",IF(AM298-TODAY()&lt;=30,"Review Due Soon","Active"))))</f>
        <v/>
      </c>
      <c r="AR298" s="63">
        <f>IF($A298="","",IF(AN298="","NOT REVIEWED",IF(TODAY()-AN298&gt;90,"OVERDUE",IF(TODAY()-AN298&gt;76,"Due Soon","Current"))))</f>
        <v/>
      </c>
    </row>
    <row r="299" ht="15" customHeight="1" s="39">
      <c r="A299" s="61" t="n"/>
      <c r="B299" s="60" t="n"/>
      <c r="C299" s="61" t="n"/>
      <c r="D299" s="60" t="n"/>
      <c r="E299" s="60" t="n"/>
      <c r="F299" s="62" t="n"/>
      <c r="G299" s="62" t="n"/>
      <c r="H299" s="60" t="n"/>
      <c r="I299" s="60" t="n"/>
      <c r="J299" s="61" t="n"/>
      <c r="K299" s="61" t="n"/>
      <c r="L299" s="61" t="n"/>
      <c r="M299" s="60" t="n"/>
      <c r="N299" s="60" t="n"/>
      <c r="O299" s="60" t="n"/>
      <c r="P299" s="61" t="n"/>
      <c r="Q299" s="60" t="n"/>
      <c r="R299" s="60" t="n"/>
      <c r="S299" s="60" t="n"/>
      <c r="T299" s="61" t="n"/>
      <c r="U299" s="61" t="n"/>
      <c r="V299" s="60" t="n"/>
      <c r="W299" s="60" t="n"/>
      <c r="X299" s="60" t="n"/>
      <c r="Y299" s="60" t="n"/>
      <c r="Z299" s="61" t="n"/>
      <c r="AA299" s="60" t="n"/>
      <c r="AB299" s="60" t="n"/>
      <c r="AC299" s="60" t="n"/>
      <c r="AD299" s="60" t="n"/>
      <c r="AE299" s="63">
        <f>IF($G299="","",TODAY()-$G299)</f>
        <v/>
      </c>
      <c r="AF299" s="63">
        <f>IF($A299="","",IF($M299&gt;0,"Yes","No"))</f>
        <v/>
      </c>
      <c r="AG299" s="63">
        <f>IF($A299="","",IF(AND($E299="Yes",OR($AA299="No",$AA299="NOT FOUND")),"YES",""))</f>
        <v/>
      </c>
      <c r="AH299" s="66">
        <f>IF($A299="","",TRIM(IF(AND($Y299=0,$I299&lt;&gt;"Yes"),"T0-NoPhishResistant ","")&amp;IF($H299="No","NoMFA ","")&amp;IF(AND($Y299=0,$M299&gt;0),"T0-Standing ","")&amp;IF(AND($Y299=0,$S299="Group only"),"T0-ViaGroupOnly ","")&amp;IF($R299="Yes","BroadAzureScope ","")&amp;IF(AND($E299="Yes",$G299=""),"NeverSignedIn ","")))</f>
        <v/>
      </c>
      <c r="AI299" s="60" t="n"/>
      <c r="AJ299" s="61" t="n"/>
      <c r="AK299" s="60" t="n"/>
      <c r="AL299" s="62" t="n"/>
      <c r="AM299" s="62" t="n"/>
      <c r="AN299" s="62" t="n"/>
      <c r="AO299" s="60" t="n"/>
      <c r="AP299" s="61" t="n"/>
      <c r="AQ299" s="63">
        <f>IF($A299="","",IF(AM299="","Not Enrolled",IF(TODAY()&gt;AM299,"Review Overdue",IF(AM299-TODAY()&lt;=30,"Review Due Soon","Active"))))</f>
        <v/>
      </c>
      <c r="AR299" s="63">
        <f>IF($A299="","",IF(AN299="","NOT REVIEWED",IF(TODAY()-AN299&gt;90,"OVERDUE",IF(TODAY()-AN299&gt;76,"Due Soon","Current"))))</f>
        <v/>
      </c>
    </row>
    <row r="300" ht="15" customHeight="1" s="39">
      <c r="A300" s="61" t="n"/>
      <c r="B300" s="60" t="n"/>
      <c r="C300" s="61" t="n"/>
      <c r="D300" s="60" t="n"/>
      <c r="E300" s="60" t="n"/>
      <c r="F300" s="62" t="n"/>
      <c r="G300" s="62" t="n"/>
      <c r="H300" s="60" t="n"/>
      <c r="I300" s="60" t="n"/>
      <c r="J300" s="61" t="n"/>
      <c r="K300" s="61" t="n"/>
      <c r="L300" s="61" t="n"/>
      <c r="M300" s="60" t="n"/>
      <c r="N300" s="60" t="n"/>
      <c r="O300" s="60" t="n"/>
      <c r="P300" s="61" t="n"/>
      <c r="Q300" s="60" t="n"/>
      <c r="R300" s="60" t="n"/>
      <c r="S300" s="60" t="n"/>
      <c r="T300" s="61" t="n"/>
      <c r="U300" s="61" t="n"/>
      <c r="V300" s="60" t="n"/>
      <c r="W300" s="60" t="n"/>
      <c r="X300" s="60" t="n"/>
      <c r="Y300" s="60" t="n"/>
      <c r="Z300" s="61" t="n"/>
      <c r="AA300" s="60" t="n"/>
      <c r="AB300" s="60" t="n"/>
      <c r="AC300" s="60" t="n"/>
      <c r="AD300" s="60" t="n"/>
      <c r="AE300" s="63">
        <f>IF($G300="","",TODAY()-$G300)</f>
        <v/>
      </c>
      <c r="AF300" s="63">
        <f>IF($A300="","",IF($M300&gt;0,"Yes","No"))</f>
        <v/>
      </c>
      <c r="AG300" s="63">
        <f>IF($A300="","",IF(AND($E300="Yes",OR($AA300="No",$AA300="NOT FOUND")),"YES",""))</f>
        <v/>
      </c>
      <c r="AH300" s="66">
        <f>IF($A300="","",TRIM(IF(AND($Y300=0,$I300&lt;&gt;"Yes"),"T0-NoPhishResistant ","")&amp;IF($H300="No","NoMFA ","")&amp;IF(AND($Y300=0,$M300&gt;0),"T0-Standing ","")&amp;IF(AND($Y300=0,$S300="Group only"),"T0-ViaGroupOnly ","")&amp;IF($R300="Yes","BroadAzureScope ","")&amp;IF(AND($E300="Yes",$G300=""),"NeverSignedIn ","")))</f>
        <v/>
      </c>
      <c r="AI300" s="60" t="n"/>
      <c r="AJ300" s="61" t="n"/>
      <c r="AK300" s="60" t="n"/>
      <c r="AL300" s="62" t="n"/>
      <c r="AM300" s="62" t="n"/>
      <c r="AN300" s="62" t="n"/>
      <c r="AO300" s="60" t="n"/>
      <c r="AP300" s="61" t="n"/>
      <c r="AQ300" s="63">
        <f>IF($A300="","",IF(AM300="","Not Enrolled",IF(TODAY()&gt;AM300,"Review Overdue",IF(AM300-TODAY()&lt;=30,"Review Due Soon","Active"))))</f>
        <v/>
      </c>
      <c r="AR300" s="63">
        <f>IF($A300="","",IF(AN300="","NOT REVIEWED",IF(TODAY()-AN300&gt;90,"OVERDUE",IF(TODAY()-AN300&gt;76,"Due Soon","Current"))))</f>
        <v/>
      </c>
    </row>
    <row r="301" ht="15" customHeight="1" s="39">
      <c r="A301" s="61" t="n"/>
      <c r="B301" s="60" t="n"/>
      <c r="C301" s="61" t="n"/>
      <c r="D301" s="60" t="n"/>
      <c r="E301" s="60" t="n"/>
      <c r="F301" s="62" t="n"/>
      <c r="G301" s="62" t="n"/>
      <c r="H301" s="60" t="n"/>
      <c r="I301" s="60" t="n"/>
      <c r="J301" s="61" t="n"/>
      <c r="K301" s="61" t="n"/>
      <c r="L301" s="61" t="n"/>
      <c r="M301" s="60" t="n"/>
      <c r="N301" s="60" t="n"/>
      <c r="O301" s="60" t="n"/>
      <c r="P301" s="61" t="n"/>
      <c r="Q301" s="60" t="n"/>
      <c r="R301" s="60" t="n"/>
      <c r="S301" s="60" t="n"/>
      <c r="T301" s="61" t="n"/>
      <c r="U301" s="61" t="n"/>
      <c r="V301" s="60" t="n"/>
      <c r="W301" s="60" t="n"/>
      <c r="X301" s="60" t="n"/>
      <c r="Y301" s="60" t="n"/>
      <c r="Z301" s="61" t="n"/>
      <c r="AA301" s="60" t="n"/>
      <c r="AB301" s="60" t="n"/>
      <c r="AC301" s="60" t="n"/>
      <c r="AD301" s="60" t="n"/>
      <c r="AE301" s="63">
        <f>IF($G301="","",TODAY()-$G301)</f>
        <v/>
      </c>
      <c r="AF301" s="63">
        <f>IF($A301="","",IF($M301&gt;0,"Yes","No"))</f>
        <v/>
      </c>
      <c r="AG301" s="63">
        <f>IF($A301="","",IF(AND($E301="Yes",OR($AA301="No",$AA301="NOT FOUND")),"YES",""))</f>
        <v/>
      </c>
      <c r="AH301" s="66">
        <f>IF($A301="","",TRIM(IF(AND($Y301=0,$I301&lt;&gt;"Yes"),"T0-NoPhishResistant ","")&amp;IF($H301="No","NoMFA ","")&amp;IF(AND($Y301=0,$M301&gt;0),"T0-Standing ","")&amp;IF(AND($Y301=0,$S301="Group only"),"T0-ViaGroupOnly ","")&amp;IF($R301="Yes","BroadAzureScope ","")&amp;IF(AND($E301="Yes",$G301=""),"NeverSignedIn ","")))</f>
        <v/>
      </c>
      <c r="AI301" s="60" t="n"/>
      <c r="AJ301" s="61" t="n"/>
      <c r="AK301" s="60" t="n"/>
      <c r="AL301" s="62" t="n"/>
      <c r="AM301" s="62" t="n"/>
      <c r="AN301" s="62" t="n"/>
      <c r="AO301" s="60" t="n"/>
      <c r="AP301" s="61" t="n"/>
      <c r="AQ301" s="63">
        <f>IF($A301="","",IF(AM301="","Not Enrolled",IF(TODAY()&gt;AM301,"Review Overdue",IF(AM301-TODAY()&lt;=30,"Review Due Soon","Active"))))</f>
        <v/>
      </c>
      <c r="AR301" s="63">
        <f>IF($A301="","",IF(AN301="","NOT REVIEWED",IF(TODAY()-AN301&gt;90,"OVERDUE",IF(TODAY()-AN301&gt;76,"Due Soon","Current"))))</f>
        <v/>
      </c>
    </row>
  </sheetData>
  <autoFilter ref="A1:AR301"/>
  <conditionalFormatting sqref="Y2:Y301">
    <cfRule type="expression" rank="0" priority="2" equalAverage="0" aboveAverage="0" dxfId="9" text="" percent="0" bottom="0">
      <formula>Y2=0</formula>
    </cfRule>
    <cfRule type="expression" rank="0" priority="3" equalAverage="0" aboveAverage="0" dxfId="10" text="" percent="0" bottom="0">
      <formula>Y2=1</formula>
    </cfRule>
  </conditionalFormatting>
  <conditionalFormatting sqref="AG2:AG301">
    <cfRule type="expression" rank="0" priority="4" equalAverage="0" aboveAverage="0" dxfId="9" text="" percent="0" bottom="0">
      <formula>AG2="YES"</formula>
    </cfRule>
  </conditionalFormatting>
  <conditionalFormatting sqref="AH2:AH301">
    <cfRule type="expression" rank="0" priority="5" equalAverage="0" aboveAverage="0" dxfId="9" text="" percent="0" bottom="0">
      <formula>ISNUMBER(SEARCH("T0-",AH2))</formula>
    </cfRule>
    <cfRule type="expression" rank="0" priority="6" equalAverage="0" aboveAverage="0" dxfId="10" text="" percent="0" bottom="0">
      <formula>AND(AH2&lt;&gt;"",NOT(ISNUMBER(SEARCH("T0-",AH2))))</formula>
    </cfRule>
  </conditionalFormatting>
  <conditionalFormatting sqref="AQ2:AQ301">
    <cfRule type="expression" rank="0" priority="7" equalAverage="0" aboveAverage="0" dxfId="9" text="" percent="0" bottom="0">
      <formula>OR(AQ2="Review Overdue",AQ2="Not Enrolled")</formula>
    </cfRule>
    <cfRule type="expression" rank="0" priority="8" equalAverage="0" aboveAverage="0" dxfId="10" text="" percent="0" bottom="0">
      <formula>AQ2="Review Due Soon"</formula>
    </cfRule>
    <cfRule type="expression" rank="0" priority="9" equalAverage="0" aboveAverage="0" dxfId="11" text="" percent="0" bottom="0">
      <formula>AQ2="Active"</formula>
    </cfRule>
  </conditionalFormatting>
  <conditionalFormatting sqref="AR2:AR301">
    <cfRule type="expression" rank="0" priority="10" equalAverage="0" aboveAverage="0" dxfId="9" text="" percent="0" bottom="0">
      <formula>OR(AR2="OVERDUE",AR2="NOT REVIEWED")</formula>
    </cfRule>
    <cfRule type="expression" rank="0" priority="11" equalAverage="0" aboveAverage="0" dxfId="10" text="" percent="0" bottom="0">
      <formula>AR2="Due Soon"</formula>
    </cfRule>
  </conditionalFormatting>
  <conditionalFormatting sqref="I2:I301">
    <cfRule type="expression" rank="0" priority="12" equalAverage="0" aboveAverage="0" dxfId="9" text="" percent="0" bottom="0">
      <formula>AND(I2="No",$Y2&lt;=1)</formula>
    </cfRule>
  </conditionalFormatting>
  <conditionalFormatting sqref="AF2:AF301">
    <cfRule type="expression" rank="0" priority="13" equalAverage="0" aboveAverage="0" dxfId="10" text="" percent="0" bottom="0">
      <formula>AF2="Yes"</formula>
    </cfRule>
  </conditionalFormatting>
  <conditionalFormatting sqref="S2:S301">
    <cfRule type="expression" rank="0" priority="14" equalAverage="0" aboveAverage="0" dxfId="10" text="" percent="0" bottom="0">
      <formula>S2="Group only"</formula>
    </cfRule>
  </conditionalFormatting>
  <dataValidations count="3">
    <dataValidation sqref="AI2:AI301" showDropDown="0" showInputMessage="0" showErrorMessage="0" allowBlank="1" type="list" errorStyle="warning" operator="between">
      <formula1>Reference!$C$2:$C$7</formula1>
      <formula2>0</formula2>
    </dataValidation>
    <dataValidation sqref="AK2:AK301" showDropDown="0" showInputMessage="0" showErrorMessage="0" allowBlank="1" type="list" errorStyle="warning" operator="between">
      <formula1>Reference!$D$2:$D$7</formula1>
      <formula2>0</formula2>
    </dataValidation>
    <dataValidation sqref="AO2:AO301" showDropDown="0" showInputMessage="0" showErrorMessage="0" allowBlank="1" type="list" errorStyle="warning" operator="between">
      <formula1>Reference!$B$2:$B$8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tabColor rgb="FF833C0B"/>
    <outlinePr summaryBelow="1" summaryRight="1"/>
    <pageSetUpPr fitToPage="0"/>
  </sheetPr>
  <dimension ref="A1:AK30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2" customWidth="1" style="38" min="1" max="1"/>
    <col width="26" customWidth="1" style="38" min="2" max="2"/>
    <col width="44" customWidth="1" style="38" min="3" max="3"/>
    <col width="34" customWidth="1" style="38" min="4" max="4"/>
    <col width="18" customWidth="1" style="38" min="5" max="5"/>
    <col width="11" customWidth="1" style="38" min="6" max="6"/>
    <col width="13" customWidth="1" style="38" min="7" max="8"/>
    <col width="15" customWidth="1" style="38" min="9" max="9"/>
    <col width="14" customWidth="1" style="38" min="10" max="10"/>
    <col width="15" customWidth="1" style="38" min="11" max="11"/>
    <col width="14" customWidth="1" style="38" min="12" max="12"/>
    <col width="38" customWidth="1" style="38" min="13" max="13"/>
    <col width="13" customWidth="1" style="38" min="14" max="14"/>
    <col width="24" customWidth="1" style="38" min="15" max="15"/>
    <col width="10" customWidth="1" style="38" min="16" max="16"/>
    <col width="12" customWidth="1" style="38" min="17" max="17"/>
    <col width="13" customWidth="1" style="38" min="18" max="18"/>
    <col width="24" customWidth="1" style="38" min="19" max="19"/>
    <col width="20" customWidth="1" style="38" min="20" max="20"/>
    <col width="15" customWidth="1" style="38" min="21" max="21"/>
    <col width="24" customWidth="1" style="38" min="22" max="22"/>
    <col width="22" customWidth="1" style="38" min="23" max="23"/>
    <col width="24" customWidth="1" style="38" min="24" max="24"/>
    <col width="14" customWidth="1" style="38" min="25" max="25"/>
    <col width="13" customWidth="1" style="38" min="26" max="26"/>
    <col width="34" customWidth="1" style="38" min="27" max="27"/>
    <col width="22" customWidth="1" style="38" min="28" max="28"/>
    <col width="40" customWidth="1" style="38" min="29" max="29"/>
    <col width="20" customWidth="1" style="38" min="30" max="30"/>
    <col width="14" customWidth="1" style="38" min="31" max="33"/>
    <col width="26" customWidth="1" style="38" min="34" max="34"/>
    <col width="38" customWidth="1" style="38" min="35" max="35"/>
    <col width="16" customWidth="1" style="38" min="36" max="36"/>
    <col width="15" customWidth="1" style="38" min="37" max="37"/>
  </cols>
  <sheetData>
    <row r="1" ht="49.5" customHeight="1" s="39">
      <c r="A1" s="67" t="inlineStr">
        <is>
          <t>SamAccountName</t>
        </is>
      </c>
      <c r="B1" s="67" t="inlineStr">
        <is>
          <t>Display Name</t>
        </is>
      </c>
      <c r="C1" s="67" t="inlineStr">
        <is>
          <t>Distinguished Name</t>
        </is>
      </c>
      <c r="D1" s="67" t="inlineStr">
        <is>
          <t>SID</t>
        </is>
      </c>
      <c r="E1" s="67" t="inlineStr">
        <is>
          <t>Base Username</t>
        </is>
      </c>
      <c r="F1" s="67" t="inlineStr">
        <is>
          <t>Enabled</t>
        </is>
      </c>
      <c r="G1" s="67" t="inlineStr">
        <is>
          <t>Created</t>
        </is>
      </c>
      <c r="H1" s="67" t="inlineStr">
        <is>
          <t>Last Logon</t>
        </is>
      </c>
      <c r="I1" s="67" t="inlineStr">
        <is>
          <t>Password Last Set</t>
        </is>
      </c>
      <c r="J1" s="67" t="inlineStr">
        <is>
          <t>Password Age (days)</t>
        </is>
      </c>
      <c r="K1" s="67" t="inlineStr">
        <is>
          <t>Password Never Expires</t>
        </is>
      </c>
      <c r="L1" s="67" t="inlineStr">
        <is>
          <t>Smartcard Required</t>
        </is>
      </c>
      <c r="M1" s="67" t="inlineStr">
        <is>
          <t>Privileged Groups</t>
        </is>
      </c>
      <c r="N1" s="67" t="inlineStr">
        <is>
          <t>Privileged Group Count</t>
        </is>
      </c>
      <c r="O1" s="67" t="inlineStr">
        <is>
          <t>Highest AD Group</t>
        </is>
      </c>
      <c r="P1" s="67" t="inlineStr">
        <is>
          <t>AD Tier</t>
        </is>
      </c>
      <c r="Q1" s="67" t="inlineStr">
        <is>
          <t>AdminCount</t>
        </is>
      </c>
      <c r="R1" s="67" t="inlineStr">
        <is>
          <t>Total Group Count</t>
        </is>
      </c>
      <c r="S1" s="67" t="inlineStr">
        <is>
          <t>Delegation</t>
        </is>
      </c>
      <c r="T1" s="67" t="inlineStr">
        <is>
          <t>Standard Account</t>
        </is>
      </c>
      <c r="U1" s="67" t="inlineStr">
        <is>
          <t>Standard Acct Enabled</t>
        </is>
      </c>
      <c r="V1" s="67" t="inlineStr">
        <is>
          <t>Person Display Name</t>
        </is>
      </c>
      <c r="W1" s="67" t="inlineStr">
        <is>
          <t>Department</t>
        </is>
      </c>
      <c r="X1" s="67" t="inlineStr">
        <is>
          <t>Job Title</t>
        </is>
      </c>
      <c r="Y1" s="55" t="inlineStr">
        <is>
          <t>Days Since Logon</t>
        </is>
      </c>
      <c r="Z1" s="55" t="inlineStr">
        <is>
          <t>ORPHANED?</t>
        </is>
      </c>
      <c r="AA1" s="55" t="inlineStr">
        <is>
          <t>Risk Flags</t>
        </is>
      </c>
      <c r="AB1" s="54" t="inlineStr">
        <is>
          <t>Access Type</t>
        </is>
      </c>
      <c r="AC1" s="54" t="inlineStr">
        <is>
          <t>Business Justification</t>
        </is>
      </c>
      <c r="AD1" s="54" t="inlineStr">
        <is>
          <t>Decided By</t>
        </is>
      </c>
      <c r="AE1" s="54" t="inlineStr">
        <is>
          <t>Review Decision Date</t>
        </is>
      </c>
      <c r="AF1" s="54" t="inlineStr">
        <is>
          <t>Next Review Due</t>
        </is>
      </c>
      <c r="AG1" s="54" t="inlineStr">
        <is>
          <t>Last Reviewed</t>
        </is>
      </c>
      <c r="AH1" s="54" t="inlineStr">
        <is>
          <t>Review Decision</t>
        </is>
      </c>
      <c r="AI1" s="54" t="inlineStr">
        <is>
          <t>Notes</t>
        </is>
      </c>
      <c r="AJ1" s="55" t="inlineStr">
        <is>
          <t>Access Status</t>
        </is>
      </c>
      <c r="AK1" s="55" t="inlineStr">
        <is>
          <t>Review Status</t>
        </is>
      </c>
    </row>
    <row r="2" ht="35.05" customHeight="1" s="39">
      <c r="A2" s="56" t="inlineStr">
        <is>
          <t>jsmith-a</t>
        </is>
      </c>
      <c r="B2" s="56" t="inlineStr">
        <is>
          <t>Jane Smith (Admin)</t>
        </is>
      </c>
      <c r="C2" s="57" t="inlineStr">
        <is>
          <t>CN=jsmith-a,OU=Admin Accounts,DC=corp,DC=com,DC=au</t>
        </is>
      </c>
      <c r="D2" s="57" t="inlineStr">
        <is>
          <t>S-1-5-21-1004336348-1177238915-682003330-3312</t>
        </is>
      </c>
      <c r="E2" s="56" t="inlineStr">
        <is>
          <t>jsmith</t>
        </is>
      </c>
      <c r="F2" s="56" t="inlineStr">
        <is>
          <t>Yes</t>
        </is>
      </c>
      <c r="G2" s="58" t="n">
        <v>44362</v>
      </c>
      <c r="H2" s="58" t="n">
        <v>46245</v>
      </c>
      <c r="I2" s="58" t="n">
        <v>45598</v>
      </c>
      <c r="J2" s="56" t="n">
        <v>650</v>
      </c>
      <c r="K2" s="56" t="inlineStr">
        <is>
          <t>No</t>
        </is>
      </c>
      <c r="L2" s="56" t="inlineStr">
        <is>
          <t>No</t>
        </is>
      </c>
      <c r="M2" s="57" t="inlineStr">
        <is>
          <t>Domain Admins; Server Operators</t>
        </is>
      </c>
      <c r="N2" s="56" t="n">
        <v>2</v>
      </c>
      <c r="O2" s="56" t="inlineStr">
        <is>
          <t>Domain Admins</t>
        </is>
      </c>
      <c r="P2" s="56" t="n">
        <v>0</v>
      </c>
      <c r="Q2" s="56" t="inlineStr">
        <is>
          <t>1</t>
        </is>
      </c>
      <c r="R2" s="56" t="n">
        <v>6</v>
      </c>
      <c r="S2" s="56" t="inlineStr">
        <is>
          <t>None</t>
        </is>
      </c>
      <c r="T2" s="56" t="inlineStr">
        <is>
          <t>jsmith</t>
        </is>
      </c>
      <c r="U2" s="56" t="inlineStr">
        <is>
          <t>Yes</t>
        </is>
      </c>
      <c r="V2" s="56" t="inlineStr">
        <is>
          <t>Jane Smith</t>
        </is>
      </c>
      <c r="W2" s="56" t="inlineStr">
        <is>
          <t>Cloud Platform Engineering</t>
        </is>
      </c>
      <c r="X2" s="56" t="inlineStr">
        <is>
          <t>Principal Engineer</t>
        </is>
      </c>
      <c r="Y2" s="59">
        <f>IF($H2="","",TODAY()-$H2)</f>
        <v/>
      </c>
      <c r="Z2" s="59">
        <f>IF($A2="","",IF(AND($F2="Yes",OR($U2="No",$U2="NOT FOUND")),"YES",""))</f>
        <v/>
      </c>
      <c r="AA2" s="65">
        <f>IF($A2="","",TRIM(IF(AND($P2=0,$L2&lt;&gt;"Yes"),"T0-NoSmartcard ","")&amp;IF(AND($J2&lt;&gt;"",$J2&gt;365),"StalePwd ","")&amp;IF($K2="Yes","PwdNeverExpires ","")&amp;IF(AND($S2&lt;&gt;"",$S2&lt;&gt;"None"),"Delegation ","")&amp;IF(AND($Q2=1,$O2="None"),"StaleAdminCount ","")&amp;IF(AND($F2="Yes",$H2=""),"NeverLoggedOn ","")))</f>
        <v/>
      </c>
      <c r="AB2" s="56" t="inlineStr">
        <is>
          <t>Permanent (BAU duty)</t>
        </is>
      </c>
      <c r="AC2" s="57" t="inlineStr">
        <is>
          <t>Domain controller maintenance and AD schema support.</t>
        </is>
      </c>
      <c r="AD2" s="56" t="inlineStr">
        <is>
          <t>Head of Infrastructure</t>
        </is>
      </c>
      <c r="AE2" s="58" t="n">
        <v>46042</v>
      </c>
      <c r="AF2" s="58" t="n"/>
      <c r="AG2" s="58" t="n">
        <v>46152</v>
      </c>
      <c r="AH2" s="56" t="inlineStr">
        <is>
          <t>Retain - reduce scope</t>
        </is>
      </c>
      <c r="AI2" s="57" t="inlineStr">
        <is>
          <t>EXAMPLE ROW - delete before use. Domain Admin without smartcard; password 650 days old.</t>
        </is>
      </c>
      <c r="AJ2" s="59">
        <f>IF($A2="","",IF(AF2="","Not Enrolled",IF(TODAY()&gt;AF2,"Review Overdue",IF(AF2-TODAY()&lt;=30,"Review Due Soon","Active"))))</f>
        <v/>
      </c>
      <c r="AK2" s="59">
        <f>IF($A2="","",IF(AG2="","NOT REVIEWED",IF(TODAY()-AG2&gt;90,"OVERDUE",IF(TODAY()-AG2&gt;76,"Due Soon","Current"))))</f>
        <v/>
      </c>
    </row>
    <row r="3" ht="15" customHeight="1" s="39">
      <c r="A3" s="60" t="n"/>
      <c r="B3" s="60" t="n"/>
      <c r="C3" s="61" t="n"/>
      <c r="D3" s="61" t="n"/>
      <c r="E3" s="60" t="n"/>
      <c r="F3" s="60" t="n"/>
      <c r="G3" s="62" t="n"/>
      <c r="H3" s="62" t="n"/>
      <c r="I3" s="62" t="n"/>
      <c r="J3" s="60" t="n"/>
      <c r="K3" s="60" t="n"/>
      <c r="L3" s="60" t="n"/>
      <c r="M3" s="61" t="n"/>
      <c r="N3" s="60" t="n"/>
      <c r="O3" s="60" t="n"/>
      <c r="P3" s="60" t="n"/>
      <c r="Q3" s="60" t="n"/>
      <c r="R3" s="60" t="n"/>
      <c r="S3" s="60" t="n"/>
      <c r="T3" s="60" t="n"/>
      <c r="U3" s="60" t="n"/>
      <c r="V3" s="60" t="n"/>
      <c r="W3" s="60" t="n"/>
      <c r="X3" s="60" t="n"/>
      <c r="Y3" s="63">
        <f>IF($H3="","",TODAY()-$H3)</f>
        <v/>
      </c>
      <c r="Z3" s="63">
        <f>IF($A3="","",IF(AND($F3="Yes",OR($U3="No",$U3="NOT FOUND")),"YES",""))</f>
        <v/>
      </c>
      <c r="AA3" s="66">
        <f>IF($A3="","",TRIM(IF(AND($P3=0,$L3&lt;&gt;"Yes"),"T0-NoSmartcard ","")&amp;IF(AND($J3&lt;&gt;"",$J3&gt;365),"StalePwd ","")&amp;IF($K3="Yes","PwdNeverExpires ","")&amp;IF(AND($S3&lt;&gt;"",$S3&lt;&gt;"None"),"Delegation ","")&amp;IF(AND($Q3=1,$O3="None"),"StaleAdminCount ","")&amp;IF(AND($F3="Yes",$H3=""),"NeverLoggedOn ","")))</f>
        <v/>
      </c>
      <c r="AB3" s="60" t="n"/>
      <c r="AC3" s="61" t="n"/>
      <c r="AD3" s="60" t="n"/>
      <c r="AE3" s="62" t="n"/>
      <c r="AF3" s="62" t="n"/>
      <c r="AG3" s="62" t="n"/>
      <c r="AH3" s="60" t="n"/>
      <c r="AI3" s="61" t="n"/>
      <c r="AJ3" s="63">
        <f>IF($A3="","",IF(AF3="","Not Enrolled",IF(TODAY()&gt;AF3,"Review Overdue",IF(AF3-TODAY()&lt;=30,"Review Due Soon","Active"))))</f>
        <v/>
      </c>
      <c r="AK3" s="63">
        <f>IF($A3="","",IF(AG3="","NOT REVIEWED",IF(TODAY()-AG3&gt;90,"OVERDUE",IF(TODAY()-AG3&gt;76,"Due Soon","Current"))))</f>
        <v/>
      </c>
    </row>
    <row r="4" ht="15" customHeight="1" s="39">
      <c r="A4" s="60" t="n"/>
      <c r="B4" s="60" t="n"/>
      <c r="C4" s="61" t="n"/>
      <c r="D4" s="61" t="n"/>
      <c r="E4" s="60" t="n"/>
      <c r="F4" s="60" t="n"/>
      <c r="G4" s="62" t="n"/>
      <c r="H4" s="62" t="n"/>
      <c r="I4" s="62" t="n"/>
      <c r="J4" s="60" t="n"/>
      <c r="K4" s="60" t="n"/>
      <c r="L4" s="60" t="n"/>
      <c r="M4" s="61" t="n"/>
      <c r="N4" s="60" t="n"/>
      <c r="O4" s="60" t="n"/>
      <c r="P4" s="60" t="n"/>
      <c r="Q4" s="60" t="n"/>
      <c r="R4" s="60" t="n"/>
      <c r="S4" s="60" t="n"/>
      <c r="T4" s="60" t="n"/>
      <c r="U4" s="60" t="n"/>
      <c r="V4" s="60" t="n"/>
      <c r="W4" s="60" t="n"/>
      <c r="X4" s="60" t="n"/>
      <c r="Y4" s="63">
        <f>IF($H4="","",TODAY()-$H4)</f>
        <v/>
      </c>
      <c r="Z4" s="63">
        <f>IF($A4="","",IF(AND($F4="Yes",OR($U4="No",$U4="NOT FOUND")),"YES",""))</f>
        <v/>
      </c>
      <c r="AA4" s="66">
        <f>IF($A4="","",TRIM(IF(AND($P4=0,$L4&lt;&gt;"Yes"),"T0-NoSmartcard ","")&amp;IF(AND($J4&lt;&gt;"",$J4&gt;365),"StalePwd ","")&amp;IF($K4="Yes","PwdNeverExpires ","")&amp;IF(AND($S4&lt;&gt;"",$S4&lt;&gt;"None"),"Delegation ","")&amp;IF(AND($Q4=1,$O4="None"),"StaleAdminCount ","")&amp;IF(AND($F4="Yes",$H4=""),"NeverLoggedOn ","")))</f>
        <v/>
      </c>
      <c r="AB4" s="60" t="n"/>
      <c r="AC4" s="61" t="n"/>
      <c r="AD4" s="60" t="n"/>
      <c r="AE4" s="62" t="n"/>
      <c r="AF4" s="62" t="n"/>
      <c r="AG4" s="62" t="n"/>
      <c r="AH4" s="60" t="n"/>
      <c r="AI4" s="61" t="n"/>
      <c r="AJ4" s="63">
        <f>IF($A4="","",IF(AF4="","Not Enrolled",IF(TODAY()&gt;AF4,"Review Overdue",IF(AF4-TODAY()&lt;=30,"Review Due Soon","Active"))))</f>
        <v/>
      </c>
      <c r="AK4" s="63">
        <f>IF($A4="","",IF(AG4="","NOT REVIEWED",IF(TODAY()-AG4&gt;90,"OVERDUE",IF(TODAY()-AG4&gt;76,"Due Soon","Current"))))</f>
        <v/>
      </c>
    </row>
    <row r="5" ht="15" customHeight="1" s="39">
      <c r="A5" s="60" t="n"/>
      <c r="B5" s="60" t="n"/>
      <c r="C5" s="61" t="n"/>
      <c r="D5" s="61" t="n"/>
      <c r="E5" s="60" t="n"/>
      <c r="F5" s="60" t="n"/>
      <c r="G5" s="62" t="n"/>
      <c r="H5" s="62" t="n"/>
      <c r="I5" s="62" t="n"/>
      <c r="J5" s="60" t="n"/>
      <c r="K5" s="60" t="n"/>
      <c r="L5" s="60" t="n"/>
      <c r="M5" s="61" t="n"/>
      <c r="N5" s="60" t="n"/>
      <c r="O5" s="60" t="n"/>
      <c r="P5" s="60" t="n"/>
      <c r="Q5" s="60" t="n"/>
      <c r="R5" s="60" t="n"/>
      <c r="S5" s="60" t="n"/>
      <c r="T5" s="60" t="n"/>
      <c r="U5" s="60" t="n"/>
      <c r="V5" s="60" t="n"/>
      <c r="W5" s="60" t="n"/>
      <c r="X5" s="60" t="n"/>
      <c r="Y5" s="63">
        <f>IF($H5="","",TODAY()-$H5)</f>
        <v/>
      </c>
      <c r="Z5" s="63">
        <f>IF($A5="","",IF(AND($F5="Yes",OR($U5="No",$U5="NOT FOUND")),"YES",""))</f>
        <v/>
      </c>
      <c r="AA5" s="66">
        <f>IF($A5="","",TRIM(IF(AND($P5=0,$L5&lt;&gt;"Yes"),"T0-NoSmartcard ","")&amp;IF(AND($J5&lt;&gt;"",$J5&gt;365),"StalePwd ","")&amp;IF($K5="Yes","PwdNeverExpires ","")&amp;IF(AND($S5&lt;&gt;"",$S5&lt;&gt;"None"),"Delegation ","")&amp;IF(AND($Q5=1,$O5="None"),"StaleAdminCount ","")&amp;IF(AND($F5="Yes",$H5=""),"NeverLoggedOn ","")))</f>
        <v/>
      </c>
      <c r="AB5" s="60" t="n"/>
      <c r="AC5" s="61" t="n"/>
      <c r="AD5" s="60" t="n"/>
      <c r="AE5" s="62" t="n"/>
      <c r="AF5" s="62" t="n"/>
      <c r="AG5" s="62" t="n"/>
      <c r="AH5" s="60" t="n"/>
      <c r="AI5" s="61" t="n"/>
      <c r="AJ5" s="63">
        <f>IF($A5="","",IF(AF5="","Not Enrolled",IF(TODAY()&gt;AF5,"Review Overdue",IF(AF5-TODAY()&lt;=30,"Review Due Soon","Active"))))</f>
        <v/>
      </c>
      <c r="AK5" s="63">
        <f>IF($A5="","",IF(AG5="","NOT REVIEWED",IF(TODAY()-AG5&gt;90,"OVERDUE",IF(TODAY()-AG5&gt;76,"Due Soon","Current"))))</f>
        <v/>
      </c>
    </row>
    <row r="6" ht="15" customHeight="1" s="39">
      <c r="A6" s="60" t="n"/>
      <c r="B6" s="60" t="n"/>
      <c r="C6" s="61" t="n"/>
      <c r="D6" s="61" t="n"/>
      <c r="E6" s="60" t="n"/>
      <c r="F6" s="60" t="n"/>
      <c r="G6" s="62" t="n"/>
      <c r="H6" s="62" t="n"/>
      <c r="I6" s="62" t="n"/>
      <c r="J6" s="60" t="n"/>
      <c r="K6" s="60" t="n"/>
      <c r="L6" s="60" t="n"/>
      <c r="M6" s="61" t="n"/>
      <c r="N6" s="60" t="n"/>
      <c r="O6" s="60" t="n"/>
      <c r="P6" s="60" t="n"/>
      <c r="Q6" s="60" t="n"/>
      <c r="R6" s="60" t="n"/>
      <c r="S6" s="60" t="n"/>
      <c r="T6" s="60" t="n"/>
      <c r="U6" s="60" t="n"/>
      <c r="V6" s="60" t="n"/>
      <c r="W6" s="60" t="n"/>
      <c r="X6" s="60" t="n"/>
      <c r="Y6" s="63">
        <f>IF($H6="","",TODAY()-$H6)</f>
        <v/>
      </c>
      <c r="Z6" s="63">
        <f>IF($A6="","",IF(AND($F6="Yes",OR($U6="No",$U6="NOT FOUND")),"YES",""))</f>
        <v/>
      </c>
      <c r="AA6" s="66">
        <f>IF($A6="","",TRIM(IF(AND($P6=0,$L6&lt;&gt;"Yes"),"T0-NoSmartcard ","")&amp;IF(AND($J6&lt;&gt;"",$J6&gt;365),"StalePwd ","")&amp;IF($K6="Yes","PwdNeverExpires ","")&amp;IF(AND($S6&lt;&gt;"",$S6&lt;&gt;"None"),"Delegation ","")&amp;IF(AND($Q6=1,$O6="None"),"StaleAdminCount ","")&amp;IF(AND($F6="Yes",$H6=""),"NeverLoggedOn ","")))</f>
        <v/>
      </c>
      <c r="AB6" s="60" t="n"/>
      <c r="AC6" s="61" t="n"/>
      <c r="AD6" s="60" t="n"/>
      <c r="AE6" s="62" t="n"/>
      <c r="AF6" s="62" t="n"/>
      <c r="AG6" s="62" t="n"/>
      <c r="AH6" s="60" t="n"/>
      <c r="AI6" s="61" t="n"/>
      <c r="AJ6" s="63">
        <f>IF($A6="","",IF(AF6="","Not Enrolled",IF(TODAY()&gt;AF6,"Review Overdue",IF(AF6-TODAY()&lt;=30,"Review Due Soon","Active"))))</f>
        <v/>
      </c>
      <c r="AK6" s="63">
        <f>IF($A6="","",IF(AG6="","NOT REVIEWED",IF(TODAY()-AG6&gt;90,"OVERDUE",IF(TODAY()-AG6&gt;76,"Due Soon","Current"))))</f>
        <v/>
      </c>
    </row>
    <row r="7" ht="15" customHeight="1" s="39">
      <c r="A7" s="60" t="n"/>
      <c r="B7" s="60" t="n"/>
      <c r="C7" s="61" t="n"/>
      <c r="D7" s="61" t="n"/>
      <c r="E7" s="60" t="n"/>
      <c r="F7" s="60" t="n"/>
      <c r="G7" s="62" t="n"/>
      <c r="H7" s="62" t="n"/>
      <c r="I7" s="62" t="n"/>
      <c r="J7" s="60" t="n"/>
      <c r="K7" s="60" t="n"/>
      <c r="L7" s="60" t="n"/>
      <c r="M7" s="61" t="n"/>
      <c r="N7" s="60" t="n"/>
      <c r="O7" s="60" t="n"/>
      <c r="P7" s="60" t="n"/>
      <c r="Q7" s="60" t="n"/>
      <c r="R7" s="60" t="n"/>
      <c r="S7" s="60" t="n"/>
      <c r="T7" s="60" t="n"/>
      <c r="U7" s="60" t="n"/>
      <c r="V7" s="60" t="n"/>
      <c r="W7" s="60" t="n"/>
      <c r="X7" s="60" t="n"/>
      <c r="Y7" s="63">
        <f>IF($H7="","",TODAY()-$H7)</f>
        <v/>
      </c>
      <c r="Z7" s="63">
        <f>IF($A7="","",IF(AND($F7="Yes",OR($U7="No",$U7="NOT FOUND")),"YES",""))</f>
        <v/>
      </c>
      <c r="AA7" s="66">
        <f>IF($A7="","",TRIM(IF(AND($P7=0,$L7&lt;&gt;"Yes"),"T0-NoSmartcard ","")&amp;IF(AND($J7&lt;&gt;"",$J7&gt;365),"StalePwd ","")&amp;IF($K7="Yes","PwdNeverExpires ","")&amp;IF(AND($S7&lt;&gt;"",$S7&lt;&gt;"None"),"Delegation ","")&amp;IF(AND($Q7=1,$O7="None"),"StaleAdminCount ","")&amp;IF(AND($F7="Yes",$H7=""),"NeverLoggedOn ","")))</f>
        <v/>
      </c>
      <c r="AB7" s="60" t="n"/>
      <c r="AC7" s="61" t="n"/>
      <c r="AD7" s="60" t="n"/>
      <c r="AE7" s="62" t="n"/>
      <c r="AF7" s="62" t="n"/>
      <c r="AG7" s="62" t="n"/>
      <c r="AH7" s="60" t="n"/>
      <c r="AI7" s="61" t="n"/>
      <c r="AJ7" s="63">
        <f>IF($A7="","",IF(AF7="","Not Enrolled",IF(TODAY()&gt;AF7,"Review Overdue",IF(AF7-TODAY()&lt;=30,"Review Due Soon","Active"))))</f>
        <v/>
      </c>
      <c r="AK7" s="63">
        <f>IF($A7="","",IF(AG7="","NOT REVIEWED",IF(TODAY()-AG7&gt;90,"OVERDUE",IF(TODAY()-AG7&gt;76,"Due Soon","Current"))))</f>
        <v/>
      </c>
    </row>
    <row r="8" ht="15" customHeight="1" s="39">
      <c r="A8" s="60" t="n"/>
      <c r="B8" s="60" t="n"/>
      <c r="C8" s="61" t="n"/>
      <c r="D8" s="61" t="n"/>
      <c r="E8" s="60" t="n"/>
      <c r="F8" s="60" t="n"/>
      <c r="G8" s="62" t="n"/>
      <c r="H8" s="62" t="n"/>
      <c r="I8" s="62" t="n"/>
      <c r="J8" s="60" t="n"/>
      <c r="K8" s="60" t="n"/>
      <c r="L8" s="60" t="n"/>
      <c r="M8" s="61" t="n"/>
      <c r="N8" s="60" t="n"/>
      <c r="O8" s="60" t="n"/>
      <c r="P8" s="60" t="n"/>
      <c r="Q8" s="60" t="n"/>
      <c r="R8" s="60" t="n"/>
      <c r="S8" s="60" t="n"/>
      <c r="T8" s="60" t="n"/>
      <c r="U8" s="60" t="n"/>
      <c r="V8" s="60" t="n"/>
      <c r="W8" s="60" t="n"/>
      <c r="X8" s="60" t="n"/>
      <c r="Y8" s="63">
        <f>IF($H8="","",TODAY()-$H8)</f>
        <v/>
      </c>
      <c r="Z8" s="63">
        <f>IF($A8="","",IF(AND($F8="Yes",OR($U8="No",$U8="NOT FOUND")),"YES",""))</f>
        <v/>
      </c>
      <c r="AA8" s="66">
        <f>IF($A8="","",TRIM(IF(AND($P8=0,$L8&lt;&gt;"Yes"),"T0-NoSmartcard ","")&amp;IF(AND($J8&lt;&gt;"",$J8&gt;365),"StalePwd ","")&amp;IF($K8="Yes","PwdNeverExpires ","")&amp;IF(AND($S8&lt;&gt;"",$S8&lt;&gt;"None"),"Delegation ","")&amp;IF(AND($Q8=1,$O8="None"),"StaleAdminCount ","")&amp;IF(AND($F8="Yes",$H8=""),"NeverLoggedOn ","")))</f>
        <v/>
      </c>
      <c r="AB8" s="60" t="n"/>
      <c r="AC8" s="61" t="n"/>
      <c r="AD8" s="60" t="n"/>
      <c r="AE8" s="62" t="n"/>
      <c r="AF8" s="62" t="n"/>
      <c r="AG8" s="62" t="n"/>
      <c r="AH8" s="60" t="n"/>
      <c r="AI8" s="61" t="n"/>
      <c r="AJ8" s="63">
        <f>IF($A8="","",IF(AF8="","Not Enrolled",IF(TODAY()&gt;AF8,"Review Overdue",IF(AF8-TODAY()&lt;=30,"Review Due Soon","Active"))))</f>
        <v/>
      </c>
      <c r="AK8" s="63">
        <f>IF($A8="","",IF(AG8="","NOT REVIEWED",IF(TODAY()-AG8&gt;90,"OVERDUE",IF(TODAY()-AG8&gt;76,"Due Soon","Current"))))</f>
        <v/>
      </c>
    </row>
    <row r="9" ht="15" customHeight="1" s="39">
      <c r="A9" s="60" t="n"/>
      <c r="B9" s="60" t="n"/>
      <c r="C9" s="61" t="n"/>
      <c r="D9" s="61" t="n"/>
      <c r="E9" s="60" t="n"/>
      <c r="F9" s="60" t="n"/>
      <c r="G9" s="62" t="n"/>
      <c r="H9" s="62" t="n"/>
      <c r="I9" s="62" t="n"/>
      <c r="J9" s="60" t="n"/>
      <c r="K9" s="60" t="n"/>
      <c r="L9" s="60" t="n"/>
      <c r="M9" s="61" t="n"/>
      <c r="N9" s="60" t="n"/>
      <c r="O9" s="60" t="n"/>
      <c r="P9" s="60" t="n"/>
      <c r="Q9" s="60" t="n"/>
      <c r="R9" s="60" t="n"/>
      <c r="S9" s="60" t="n"/>
      <c r="T9" s="60" t="n"/>
      <c r="U9" s="60" t="n"/>
      <c r="V9" s="60" t="n"/>
      <c r="W9" s="60" t="n"/>
      <c r="X9" s="60" t="n"/>
      <c r="Y9" s="63">
        <f>IF($H9="","",TODAY()-$H9)</f>
        <v/>
      </c>
      <c r="Z9" s="63">
        <f>IF($A9="","",IF(AND($F9="Yes",OR($U9="No",$U9="NOT FOUND")),"YES",""))</f>
        <v/>
      </c>
      <c r="AA9" s="66">
        <f>IF($A9="","",TRIM(IF(AND($P9=0,$L9&lt;&gt;"Yes"),"T0-NoSmartcard ","")&amp;IF(AND($J9&lt;&gt;"",$J9&gt;365),"StalePwd ","")&amp;IF($K9="Yes","PwdNeverExpires ","")&amp;IF(AND($S9&lt;&gt;"",$S9&lt;&gt;"None"),"Delegation ","")&amp;IF(AND($Q9=1,$O9="None"),"StaleAdminCount ","")&amp;IF(AND($F9="Yes",$H9=""),"NeverLoggedOn ","")))</f>
        <v/>
      </c>
      <c r="AB9" s="60" t="n"/>
      <c r="AC9" s="61" t="n"/>
      <c r="AD9" s="60" t="n"/>
      <c r="AE9" s="62" t="n"/>
      <c r="AF9" s="62" t="n"/>
      <c r="AG9" s="62" t="n"/>
      <c r="AH9" s="60" t="n"/>
      <c r="AI9" s="61" t="n"/>
      <c r="AJ9" s="63">
        <f>IF($A9="","",IF(AF9="","Not Enrolled",IF(TODAY()&gt;AF9,"Review Overdue",IF(AF9-TODAY()&lt;=30,"Review Due Soon","Active"))))</f>
        <v/>
      </c>
      <c r="AK9" s="63">
        <f>IF($A9="","",IF(AG9="","NOT REVIEWED",IF(TODAY()-AG9&gt;90,"OVERDUE",IF(TODAY()-AG9&gt;76,"Due Soon","Current"))))</f>
        <v/>
      </c>
    </row>
    <row r="10" ht="15" customHeight="1" s="39">
      <c r="A10" s="60" t="n"/>
      <c r="B10" s="60" t="n"/>
      <c r="C10" s="61" t="n"/>
      <c r="D10" s="61" t="n"/>
      <c r="E10" s="60" t="n"/>
      <c r="F10" s="60" t="n"/>
      <c r="G10" s="62" t="n"/>
      <c r="H10" s="62" t="n"/>
      <c r="I10" s="62" t="n"/>
      <c r="J10" s="60" t="n"/>
      <c r="K10" s="60" t="n"/>
      <c r="L10" s="60" t="n"/>
      <c r="M10" s="61" t="n"/>
      <c r="N10" s="60" t="n"/>
      <c r="O10" s="60" t="n"/>
      <c r="P10" s="60" t="n"/>
      <c r="Q10" s="60" t="n"/>
      <c r="R10" s="60" t="n"/>
      <c r="S10" s="60" t="n"/>
      <c r="T10" s="60" t="n"/>
      <c r="U10" s="60" t="n"/>
      <c r="V10" s="60" t="n"/>
      <c r="W10" s="60" t="n"/>
      <c r="X10" s="60" t="n"/>
      <c r="Y10" s="63">
        <f>IF($H10="","",TODAY()-$H10)</f>
        <v/>
      </c>
      <c r="Z10" s="63">
        <f>IF($A10="","",IF(AND($F10="Yes",OR($U10="No",$U10="NOT FOUND")),"YES",""))</f>
        <v/>
      </c>
      <c r="AA10" s="66">
        <f>IF($A10="","",TRIM(IF(AND($P10=0,$L10&lt;&gt;"Yes"),"T0-NoSmartcard ","")&amp;IF(AND($J10&lt;&gt;"",$J10&gt;365),"StalePwd ","")&amp;IF($K10="Yes","PwdNeverExpires ","")&amp;IF(AND($S10&lt;&gt;"",$S10&lt;&gt;"None"),"Delegation ","")&amp;IF(AND($Q10=1,$O10="None"),"StaleAdminCount ","")&amp;IF(AND($F10="Yes",$H10=""),"NeverLoggedOn ","")))</f>
        <v/>
      </c>
      <c r="AB10" s="60" t="n"/>
      <c r="AC10" s="61" t="n"/>
      <c r="AD10" s="60" t="n"/>
      <c r="AE10" s="62" t="n"/>
      <c r="AF10" s="62" t="n"/>
      <c r="AG10" s="62" t="n"/>
      <c r="AH10" s="60" t="n"/>
      <c r="AI10" s="61" t="n"/>
      <c r="AJ10" s="63">
        <f>IF($A10="","",IF(AF10="","Not Enrolled",IF(TODAY()&gt;AF10,"Review Overdue",IF(AF10-TODAY()&lt;=30,"Review Due Soon","Active"))))</f>
        <v/>
      </c>
      <c r="AK10" s="63">
        <f>IF($A10="","",IF(AG10="","NOT REVIEWED",IF(TODAY()-AG10&gt;90,"OVERDUE",IF(TODAY()-AG10&gt;76,"Due Soon","Current"))))</f>
        <v/>
      </c>
    </row>
    <row r="11" ht="15" customHeight="1" s="39">
      <c r="A11" s="60" t="n"/>
      <c r="B11" s="60" t="n"/>
      <c r="C11" s="61" t="n"/>
      <c r="D11" s="61" t="n"/>
      <c r="E11" s="60" t="n"/>
      <c r="F11" s="60" t="n"/>
      <c r="G11" s="62" t="n"/>
      <c r="H11" s="62" t="n"/>
      <c r="I11" s="62" t="n"/>
      <c r="J11" s="60" t="n"/>
      <c r="K11" s="60" t="n"/>
      <c r="L11" s="60" t="n"/>
      <c r="M11" s="61" t="n"/>
      <c r="N11" s="60" t="n"/>
      <c r="O11" s="60" t="n"/>
      <c r="P11" s="60" t="n"/>
      <c r="Q11" s="60" t="n"/>
      <c r="R11" s="60" t="n"/>
      <c r="S11" s="60" t="n"/>
      <c r="T11" s="60" t="n"/>
      <c r="U11" s="60" t="n"/>
      <c r="V11" s="60" t="n"/>
      <c r="W11" s="60" t="n"/>
      <c r="X11" s="60" t="n"/>
      <c r="Y11" s="63">
        <f>IF($H11="","",TODAY()-$H11)</f>
        <v/>
      </c>
      <c r="Z11" s="63">
        <f>IF($A11="","",IF(AND($F11="Yes",OR($U11="No",$U11="NOT FOUND")),"YES",""))</f>
        <v/>
      </c>
      <c r="AA11" s="66">
        <f>IF($A11="","",TRIM(IF(AND($P11=0,$L11&lt;&gt;"Yes"),"T0-NoSmartcard ","")&amp;IF(AND($J11&lt;&gt;"",$J11&gt;365),"StalePwd ","")&amp;IF($K11="Yes","PwdNeverExpires ","")&amp;IF(AND($S11&lt;&gt;"",$S11&lt;&gt;"None"),"Delegation ","")&amp;IF(AND($Q11=1,$O11="None"),"StaleAdminCount ","")&amp;IF(AND($F11="Yes",$H11=""),"NeverLoggedOn ","")))</f>
        <v/>
      </c>
      <c r="AB11" s="60" t="n"/>
      <c r="AC11" s="61" t="n"/>
      <c r="AD11" s="60" t="n"/>
      <c r="AE11" s="62" t="n"/>
      <c r="AF11" s="62" t="n"/>
      <c r="AG11" s="62" t="n"/>
      <c r="AH11" s="60" t="n"/>
      <c r="AI11" s="61" t="n"/>
      <c r="AJ11" s="63">
        <f>IF($A11="","",IF(AF11="","Not Enrolled",IF(TODAY()&gt;AF11,"Review Overdue",IF(AF11-TODAY()&lt;=30,"Review Due Soon","Active"))))</f>
        <v/>
      </c>
      <c r="AK11" s="63">
        <f>IF($A11="","",IF(AG11="","NOT REVIEWED",IF(TODAY()-AG11&gt;90,"OVERDUE",IF(TODAY()-AG11&gt;76,"Due Soon","Current"))))</f>
        <v/>
      </c>
    </row>
    <row r="12" ht="15" customHeight="1" s="39">
      <c r="A12" s="60" t="n"/>
      <c r="B12" s="60" t="n"/>
      <c r="C12" s="61" t="n"/>
      <c r="D12" s="61" t="n"/>
      <c r="E12" s="60" t="n"/>
      <c r="F12" s="60" t="n"/>
      <c r="G12" s="62" t="n"/>
      <c r="H12" s="62" t="n"/>
      <c r="I12" s="62" t="n"/>
      <c r="J12" s="60" t="n"/>
      <c r="K12" s="60" t="n"/>
      <c r="L12" s="60" t="n"/>
      <c r="M12" s="61" t="n"/>
      <c r="N12" s="60" t="n"/>
      <c r="O12" s="60" t="n"/>
      <c r="P12" s="60" t="n"/>
      <c r="Q12" s="60" t="n"/>
      <c r="R12" s="60" t="n"/>
      <c r="S12" s="60" t="n"/>
      <c r="T12" s="60" t="n"/>
      <c r="U12" s="60" t="n"/>
      <c r="V12" s="60" t="n"/>
      <c r="W12" s="60" t="n"/>
      <c r="X12" s="60" t="n"/>
      <c r="Y12" s="63">
        <f>IF($H12="","",TODAY()-$H12)</f>
        <v/>
      </c>
      <c r="Z12" s="63">
        <f>IF($A12="","",IF(AND($F12="Yes",OR($U12="No",$U12="NOT FOUND")),"YES",""))</f>
        <v/>
      </c>
      <c r="AA12" s="66">
        <f>IF($A12="","",TRIM(IF(AND($P12=0,$L12&lt;&gt;"Yes"),"T0-NoSmartcard ","")&amp;IF(AND($J12&lt;&gt;"",$J12&gt;365),"StalePwd ","")&amp;IF($K12="Yes","PwdNeverExpires ","")&amp;IF(AND($S12&lt;&gt;"",$S12&lt;&gt;"None"),"Delegation ","")&amp;IF(AND($Q12=1,$O12="None"),"StaleAdminCount ","")&amp;IF(AND($F12="Yes",$H12=""),"NeverLoggedOn ","")))</f>
        <v/>
      </c>
      <c r="AB12" s="60" t="n"/>
      <c r="AC12" s="61" t="n"/>
      <c r="AD12" s="60" t="n"/>
      <c r="AE12" s="62" t="n"/>
      <c r="AF12" s="62" t="n"/>
      <c r="AG12" s="62" t="n"/>
      <c r="AH12" s="60" t="n"/>
      <c r="AI12" s="61" t="n"/>
      <c r="AJ12" s="63">
        <f>IF($A12="","",IF(AF12="","Not Enrolled",IF(TODAY()&gt;AF12,"Review Overdue",IF(AF12-TODAY()&lt;=30,"Review Due Soon","Active"))))</f>
        <v/>
      </c>
      <c r="AK12" s="63">
        <f>IF($A12="","",IF(AG12="","NOT REVIEWED",IF(TODAY()-AG12&gt;90,"OVERDUE",IF(TODAY()-AG12&gt;76,"Due Soon","Current"))))</f>
        <v/>
      </c>
    </row>
    <row r="13" ht="15" customHeight="1" s="39">
      <c r="A13" s="60" t="n"/>
      <c r="B13" s="60" t="n"/>
      <c r="C13" s="61" t="n"/>
      <c r="D13" s="61" t="n"/>
      <c r="E13" s="60" t="n"/>
      <c r="F13" s="60" t="n"/>
      <c r="G13" s="62" t="n"/>
      <c r="H13" s="62" t="n"/>
      <c r="I13" s="62" t="n"/>
      <c r="J13" s="60" t="n"/>
      <c r="K13" s="60" t="n"/>
      <c r="L13" s="60" t="n"/>
      <c r="M13" s="61" t="n"/>
      <c r="N13" s="60" t="n"/>
      <c r="O13" s="60" t="n"/>
      <c r="P13" s="60" t="n"/>
      <c r="Q13" s="60" t="n"/>
      <c r="R13" s="60" t="n"/>
      <c r="S13" s="60" t="n"/>
      <c r="T13" s="60" t="n"/>
      <c r="U13" s="60" t="n"/>
      <c r="V13" s="60" t="n"/>
      <c r="W13" s="60" t="n"/>
      <c r="X13" s="60" t="n"/>
      <c r="Y13" s="63">
        <f>IF($H13="","",TODAY()-$H13)</f>
        <v/>
      </c>
      <c r="Z13" s="63">
        <f>IF($A13="","",IF(AND($F13="Yes",OR($U13="No",$U13="NOT FOUND")),"YES",""))</f>
        <v/>
      </c>
      <c r="AA13" s="66">
        <f>IF($A13="","",TRIM(IF(AND($P13=0,$L13&lt;&gt;"Yes"),"T0-NoSmartcard ","")&amp;IF(AND($J13&lt;&gt;"",$J13&gt;365),"StalePwd ","")&amp;IF($K13="Yes","PwdNeverExpires ","")&amp;IF(AND($S13&lt;&gt;"",$S13&lt;&gt;"None"),"Delegation ","")&amp;IF(AND($Q13=1,$O13="None"),"StaleAdminCount ","")&amp;IF(AND($F13="Yes",$H13=""),"NeverLoggedOn ","")))</f>
        <v/>
      </c>
      <c r="AB13" s="60" t="n"/>
      <c r="AC13" s="61" t="n"/>
      <c r="AD13" s="60" t="n"/>
      <c r="AE13" s="62" t="n"/>
      <c r="AF13" s="62" t="n"/>
      <c r="AG13" s="62" t="n"/>
      <c r="AH13" s="60" t="n"/>
      <c r="AI13" s="61" t="n"/>
      <c r="AJ13" s="63">
        <f>IF($A13="","",IF(AF13="","Not Enrolled",IF(TODAY()&gt;AF13,"Review Overdue",IF(AF13-TODAY()&lt;=30,"Review Due Soon","Active"))))</f>
        <v/>
      </c>
      <c r="AK13" s="63">
        <f>IF($A13="","",IF(AG13="","NOT REVIEWED",IF(TODAY()-AG13&gt;90,"OVERDUE",IF(TODAY()-AG13&gt;76,"Due Soon","Current"))))</f>
        <v/>
      </c>
    </row>
    <row r="14" ht="15" customHeight="1" s="39">
      <c r="A14" s="60" t="n"/>
      <c r="B14" s="60" t="n"/>
      <c r="C14" s="61" t="n"/>
      <c r="D14" s="61" t="n"/>
      <c r="E14" s="60" t="n"/>
      <c r="F14" s="60" t="n"/>
      <c r="G14" s="62" t="n"/>
      <c r="H14" s="62" t="n"/>
      <c r="I14" s="62" t="n"/>
      <c r="J14" s="60" t="n"/>
      <c r="K14" s="60" t="n"/>
      <c r="L14" s="60" t="n"/>
      <c r="M14" s="61" t="n"/>
      <c r="N14" s="60" t="n"/>
      <c r="O14" s="60" t="n"/>
      <c r="P14" s="60" t="n"/>
      <c r="Q14" s="60" t="n"/>
      <c r="R14" s="60" t="n"/>
      <c r="S14" s="60" t="n"/>
      <c r="T14" s="60" t="n"/>
      <c r="U14" s="60" t="n"/>
      <c r="V14" s="60" t="n"/>
      <c r="W14" s="60" t="n"/>
      <c r="X14" s="60" t="n"/>
      <c r="Y14" s="63">
        <f>IF($H14="","",TODAY()-$H14)</f>
        <v/>
      </c>
      <c r="Z14" s="63">
        <f>IF($A14="","",IF(AND($F14="Yes",OR($U14="No",$U14="NOT FOUND")),"YES",""))</f>
        <v/>
      </c>
      <c r="AA14" s="66">
        <f>IF($A14="","",TRIM(IF(AND($P14=0,$L14&lt;&gt;"Yes"),"T0-NoSmartcard ","")&amp;IF(AND($J14&lt;&gt;"",$J14&gt;365),"StalePwd ","")&amp;IF($K14="Yes","PwdNeverExpires ","")&amp;IF(AND($S14&lt;&gt;"",$S14&lt;&gt;"None"),"Delegation ","")&amp;IF(AND($Q14=1,$O14="None"),"StaleAdminCount ","")&amp;IF(AND($F14="Yes",$H14=""),"NeverLoggedOn ","")))</f>
        <v/>
      </c>
      <c r="AB14" s="60" t="n"/>
      <c r="AC14" s="61" t="n"/>
      <c r="AD14" s="60" t="n"/>
      <c r="AE14" s="62" t="n"/>
      <c r="AF14" s="62" t="n"/>
      <c r="AG14" s="62" t="n"/>
      <c r="AH14" s="60" t="n"/>
      <c r="AI14" s="61" t="n"/>
      <c r="AJ14" s="63">
        <f>IF($A14="","",IF(AF14="","Not Enrolled",IF(TODAY()&gt;AF14,"Review Overdue",IF(AF14-TODAY()&lt;=30,"Review Due Soon","Active"))))</f>
        <v/>
      </c>
      <c r="AK14" s="63">
        <f>IF($A14="","",IF(AG14="","NOT REVIEWED",IF(TODAY()-AG14&gt;90,"OVERDUE",IF(TODAY()-AG14&gt;76,"Due Soon","Current"))))</f>
        <v/>
      </c>
    </row>
    <row r="15" ht="15" customHeight="1" s="39">
      <c r="A15" s="60" t="n"/>
      <c r="B15" s="60" t="n"/>
      <c r="C15" s="61" t="n"/>
      <c r="D15" s="61" t="n"/>
      <c r="E15" s="60" t="n"/>
      <c r="F15" s="60" t="n"/>
      <c r="G15" s="62" t="n"/>
      <c r="H15" s="62" t="n"/>
      <c r="I15" s="62" t="n"/>
      <c r="J15" s="60" t="n"/>
      <c r="K15" s="60" t="n"/>
      <c r="L15" s="60" t="n"/>
      <c r="M15" s="61" t="n"/>
      <c r="N15" s="60" t="n"/>
      <c r="O15" s="60" t="n"/>
      <c r="P15" s="60" t="n"/>
      <c r="Q15" s="60" t="n"/>
      <c r="R15" s="60" t="n"/>
      <c r="S15" s="60" t="n"/>
      <c r="T15" s="60" t="n"/>
      <c r="U15" s="60" t="n"/>
      <c r="V15" s="60" t="n"/>
      <c r="W15" s="60" t="n"/>
      <c r="X15" s="60" t="n"/>
      <c r="Y15" s="63">
        <f>IF($H15="","",TODAY()-$H15)</f>
        <v/>
      </c>
      <c r="Z15" s="63">
        <f>IF($A15="","",IF(AND($F15="Yes",OR($U15="No",$U15="NOT FOUND")),"YES",""))</f>
        <v/>
      </c>
      <c r="AA15" s="66">
        <f>IF($A15="","",TRIM(IF(AND($P15=0,$L15&lt;&gt;"Yes"),"T0-NoSmartcard ","")&amp;IF(AND($J15&lt;&gt;"",$J15&gt;365),"StalePwd ","")&amp;IF($K15="Yes","PwdNeverExpires ","")&amp;IF(AND($S15&lt;&gt;"",$S15&lt;&gt;"None"),"Delegation ","")&amp;IF(AND($Q15=1,$O15="None"),"StaleAdminCount ","")&amp;IF(AND($F15="Yes",$H15=""),"NeverLoggedOn ","")))</f>
        <v/>
      </c>
      <c r="AB15" s="60" t="n"/>
      <c r="AC15" s="61" t="n"/>
      <c r="AD15" s="60" t="n"/>
      <c r="AE15" s="62" t="n"/>
      <c r="AF15" s="62" t="n"/>
      <c r="AG15" s="62" t="n"/>
      <c r="AH15" s="60" t="n"/>
      <c r="AI15" s="61" t="n"/>
      <c r="AJ15" s="63">
        <f>IF($A15="","",IF(AF15="","Not Enrolled",IF(TODAY()&gt;AF15,"Review Overdue",IF(AF15-TODAY()&lt;=30,"Review Due Soon","Active"))))</f>
        <v/>
      </c>
      <c r="AK15" s="63">
        <f>IF($A15="","",IF(AG15="","NOT REVIEWED",IF(TODAY()-AG15&gt;90,"OVERDUE",IF(TODAY()-AG15&gt;76,"Due Soon","Current"))))</f>
        <v/>
      </c>
    </row>
    <row r="16" ht="15" customHeight="1" s="39">
      <c r="A16" s="60" t="n"/>
      <c r="B16" s="60" t="n"/>
      <c r="C16" s="61" t="n"/>
      <c r="D16" s="61" t="n"/>
      <c r="E16" s="60" t="n"/>
      <c r="F16" s="60" t="n"/>
      <c r="G16" s="62" t="n"/>
      <c r="H16" s="62" t="n"/>
      <c r="I16" s="62" t="n"/>
      <c r="J16" s="60" t="n"/>
      <c r="K16" s="60" t="n"/>
      <c r="L16" s="60" t="n"/>
      <c r="M16" s="61" t="n"/>
      <c r="N16" s="60" t="n"/>
      <c r="O16" s="60" t="n"/>
      <c r="P16" s="60" t="n"/>
      <c r="Q16" s="60" t="n"/>
      <c r="R16" s="60" t="n"/>
      <c r="S16" s="60" t="n"/>
      <c r="T16" s="60" t="n"/>
      <c r="U16" s="60" t="n"/>
      <c r="V16" s="60" t="n"/>
      <c r="W16" s="60" t="n"/>
      <c r="X16" s="60" t="n"/>
      <c r="Y16" s="63">
        <f>IF($H16="","",TODAY()-$H16)</f>
        <v/>
      </c>
      <c r="Z16" s="63">
        <f>IF($A16="","",IF(AND($F16="Yes",OR($U16="No",$U16="NOT FOUND")),"YES",""))</f>
        <v/>
      </c>
      <c r="AA16" s="66">
        <f>IF($A16="","",TRIM(IF(AND($P16=0,$L16&lt;&gt;"Yes"),"T0-NoSmartcard ","")&amp;IF(AND($J16&lt;&gt;"",$J16&gt;365),"StalePwd ","")&amp;IF($K16="Yes","PwdNeverExpires ","")&amp;IF(AND($S16&lt;&gt;"",$S16&lt;&gt;"None"),"Delegation ","")&amp;IF(AND($Q16=1,$O16="None"),"StaleAdminCount ","")&amp;IF(AND($F16="Yes",$H16=""),"NeverLoggedOn ","")))</f>
        <v/>
      </c>
      <c r="AB16" s="60" t="n"/>
      <c r="AC16" s="61" t="n"/>
      <c r="AD16" s="60" t="n"/>
      <c r="AE16" s="62" t="n"/>
      <c r="AF16" s="62" t="n"/>
      <c r="AG16" s="62" t="n"/>
      <c r="AH16" s="60" t="n"/>
      <c r="AI16" s="61" t="n"/>
      <c r="AJ16" s="63">
        <f>IF($A16="","",IF(AF16="","Not Enrolled",IF(TODAY()&gt;AF16,"Review Overdue",IF(AF16-TODAY()&lt;=30,"Review Due Soon","Active"))))</f>
        <v/>
      </c>
      <c r="AK16" s="63">
        <f>IF($A16="","",IF(AG16="","NOT REVIEWED",IF(TODAY()-AG16&gt;90,"OVERDUE",IF(TODAY()-AG16&gt;76,"Due Soon","Current"))))</f>
        <v/>
      </c>
    </row>
    <row r="17" ht="15" customHeight="1" s="39">
      <c r="A17" s="60" t="n"/>
      <c r="B17" s="60" t="n"/>
      <c r="C17" s="61" t="n"/>
      <c r="D17" s="61" t="n"/>
      <c r="E17" s="60" t="n"/>
      <c r="F17" s="60" t="n"/>
      <c r="G17" s="62" t="n"/>
      <c r="H17" s="62" t="n"/>
      <c r="I17" s="62" t="n"/>
      <c r="J17" s="60" t="n"/>
      <c r="K17" s="60" t="n"/>
      <c r="L17" s="60" t="n"/>
      <c r="M17" s="61" t="n"/>
      <c r="N17" s="60" t="n"/>
      <c r="O17" s="60" t="n"/>
      <c r="P17" s="60" t="n"/>
      <c r="Q17" s="60" t="n"/>
      <c r="R17" s="60" t="n"/>
      <c r="S17" s="60" t="n"/>
      <c r="T17" s="60" t="n"/>
      <c r="U17" s="60" t="n"/>
      <c r="V17" s="60" t="n"/>
      <c r="W17" s="60" t="n"/>
      <c r="X17" s="60" t="n"/>
      <c r="Y17" s="63">
        <f>IF($H17="","",TODAY()-$H17)</f>
        <v/>
      </c>
      <c r="Z17" s="63">
        <f>IF($A17="","",IF(AND($F17="Yes",OR($U17="No",$U17="NOT FOUND")),"YES",""))</f>
        <v/>
      </c>
      <c r="AA17" s="66">
        <f>IF($A17="","",TRIM(IF(AND($P17=0,$L17&lt;&gt;"Yes"),"T0-NoSmartcard ","")&amp;IF(AND($J17&lt;&gt;"",$J17&gt;365),"StalePwd ","")&amp;IF($K17="Yes","PwdNeverExpires ","")&amp;IF(AND($S17&lt;&gt;"",$S17&lt;&gt;"None"),"Delegation ","")&amp;IF(AND($Q17=1,$O17="None"),"StaleAdminCount ","")&amp;IF(AND($F17="Yes",$H17=""),"NeverLoggedOn ","")))</f>
        <v/>
      </c>
      <c r="AB17" s="60" t="n"/>
      <c r="AC17" s="61" t="n"/>
      <c r="AD17" s="60" t="n"/>
      <c r="AE17" s="62" t="n"/>
      <c r="AF17" s="62" t="n"/>
      <c r="AG17" s="62" t="n"/>
      <c r="AH17" s="60" t="n"/>
      <c r="AI17" s="61" t="n"/>
      <c r="AJ17" s="63">
        <f>IF($A17="","",IF(AF17="","Not Enrolled",IF(TODAY()&gt;AF17,"Review Overdue",IF(AF17-TODAY()&lt;=30,"Review Due Soon","Active"))))</f>
        <v/>
      </c>
      <c r="AK17" s="63">
        <f>IF($A17="","",IF(AG17="","NOT REVIEWED",IF(TODAY()-AG17&gt;90,"OVERDUE",IF(TODAY()-AG17&gt;76,"Due Soon","Current"))))</f>
        <v/>
      </c>
    </row>
    <row r="18" ht="15" customHeight="1" s="39">
      <c r="A18" s="60" t="n"/>
      <c r="B18" s="60" t="n"/>
      <c r="C18" s="61" t="n"/>
      <c r="D18" s="61" t="n"/>
      <c r="E18" s="60" t="n"/>
      <c r="F18" s="60" t="n"/>
      <c r="G18" s="62" t="n"/>
      <c r="H18" s="62" t="n"/>
      <c r="I18" s="62" t="n"/>
      <c r="J18" s="60" t="n"/>
      <c r="K18" s="60" t="n"/>
      <c r="L18" s="60" t="n"/>
      <c r="M18" s="61" t="n"/>
      <c r="N18" s="60" t="n"/>
      <c r="O18" s="60" t="n"/>
      <c r="P18" s="60" t="n"/>
      <c r="Q18" s="60" t="n"/>
      <c r="R18" s="60" t="n"/>
      <c r="S18" s="60" t="n"/>
      <c r="T18" s="60" t="n"/>
      <c r="U18" s="60" t="n"/>
      <c r="V18" s="60" t="n"/>
      <c r="W18" s="60" t="n"/>
      <c r="X18" s="60" t="n"/>
      <c r="Y18" s="63">
        <f>IF($H18="","",TODAY()-$H18)</f>
        <v/>
      </c>
      <c r="Z18" s="63">
        <f>IF($A18="","",IF(AND($F18="Yes",OR($U18="No",$U18="NOT FOUND")),"YES",""))</f>
        <v/>
      </c>
      <c r="AA18" s="66">
        <f>IF($A18="","",TRIM(IF(AND($P18=0,$L18&lt;&gt;"Yes"),"T0-NoSmartcard ","")&amp;IF(AND($J18&lt;&gt;"",$J18&gt;365),"StalePwd ","")&amp;IF($K18="Yes","PwdNeverExpires ","")&amp;IF(AND($S18&lt;&gt;"",$S18&lt;&gt;"None"),"Delegation ","")&amp;IF(AND($Q18=1,$O18="None"),"StaleAdminCount ","")&amp;IF(AND($F18="Yes",$H18=""),"NeverLoggedOn ","")))</f>
        <v/>
      </c>
      <c r="AB18" s="60" t="n"/>
      <c r="AC18" s="61" t="n"/>
      <c r="AD18" s="60" t="n"/>
      <c r="AE18" s="62" t="n"/>
      <c r="AF18" s="62" t="n"/>
      <c r="AG18" s="62" t="n"/>
      <c r="AH18" s="60" t="n"/>
      <c r="AI18" s="61" t="n"/>
      <c r="AJ18" s="63">
        <f>IF($A18="","",IF(AF18="","Not Enrolled",IF(TODAY()&gt;AF18,"Review Overdue",IF(AF18-TODAY()&lt;=30,"Review Due Soon","Active"))))</f>
        <v/>
      </c>
      <c r="AK18" s="63">
        <f>IF($A18="","",IF(AG18="","NOT REVIEWED",IF(TODAY()-AG18&gt;90,"OVERDUE",IF(TODAY()-AG18&gt;76,"Due Soon","Current"))))</f>
        <v/>
      </c>
    </row>
    <row r="19" ht="15" customHeight="1" s="39">
      <c r="A19" s="60" t="n"/>
      <c r="B19" s="60" t="n"/>
      <c r="C19" s="61" t="n"/>
      <c r="D19" s="61" t="n"/>
      <c r="E19" s="60" t="n"/>
      <c r="F19" s="60" t="n"/>
      <c r="G19" s="62" t="n"/>
      <c r="H19" s="62" t="n"/>
      <c r="I19" s="62" t="n"/>
      <c r="J19" s="60" t="n"/>
      <c r="K19" s="60" t="n"/>
      <c r="L19" s="60" t="n"/>
      <c r="M19" s="61" t="n"/>
      <c r="N19" s="60" t="n"/>
      <c r="O19" s="60" t="n"/>
      <c r="P19" s="60" t="n"/>
      <c r="Q19" s="60" t="n"/>
      <c r="R19" s="60" t="n"/>
      <c r="S19" s="60" t="n"/>
      <c r="T19" s="60" t="n"/>
      <c r="U19" s="60" t="n"/>
      <c r="V19" s="60" t="n"/>
      <c r="W19" s="60" t="n"/>
      <c r="X19" s="60" t="n"/>
      <c r="Y19" s="63">
        <f>IF($H19="","",TODAY()-$H19)</f>
        <v/>
      </c>
      <c r="Z19" s="63">
        <f>IF($A19="","",IF(AND($F19="Yes",OR($U19="No",$U19="NOT FOUND")),"YES",""))</f>
        <v/>
      </c>
      <c r="AA19" s="66">
        <f>IF($A19="","",TRIM(IF(AND($P19=0,$L19&lt;&gt;"Yes"),"T0-NoSmartcard ","")&amp;IF(AND($J19&lt;&gt;"",$J19&gt;365),"StalePwd ","")&amp;IF($K19="Yes","PwdNeverExpires ","")&amp;IF(AND($S19&lt;&gt;"",$S19&lt;&gt;"None"),"Delegation ","")&amp;IF(AND($Q19=1,$O19="None"),"StaleAdminCount ","")&amp;IF(AND($F19="Yes",$H19=""),"NeverLoggedOn ","")))</f>
        <v/>
      </c>
      <c r="AB19" s="60" t="n"/>
      <c r="AC19" s="61" t="n"/>
      <c r="AD19" s="60" t="n"/>
      <c r="AE19" s="62" t="n"/>
      <c r="AF19" s="62" t="n"/>
      <c r="AG19" s="62" t="n"/>
      <c r="AH19" s="60" t="n"/>
      <c r="AI19" s="61" t="n"/>
      <c r="AJ19" s="63">
        <f>IF($A19="","",IF(AF19="","Not Enrolled",IF(TODAY()&gt;AF19,"Review Overdue",IF(AF19-TODAY()&lt;=30,"Review Due Soon","Active"))))</f>
        <v/>
      </c>
      <c r="AK19" s="63">
        <f>IF($A19="","",IF(AG19="","NOT REVIEWED",IF(TODAY()-AG19&gt;90,"OVERDUE",IF(TODAY()-AG19&gt;76,"Due Soon","Current"))))</f>
        <v/>
      </c>
    </row>
    <row r="20" ht="15" customHeight="1" s="39">
      <c r="A20" s="60" t="n"/>
      <c r="B20" s="60" t="n"/>
      <c r="C20" s="61" t="n"/>
      <c r="D20" s="61" t="n"/>
      <c r="E20" s="60" t="n"/>
      <c r="F20" s="60" t="n"/>
      <c r="G20" s="62" t="n"/>
      <c r="H20" s="62" t="n"/>
      <c r="I20" s="62" t="n"/>
      <c r="J20" s="60" t="n"/>
      <c r="K20" s="60" t="n"/>
      <c r="L20" s="60" t="n"/>
      <c r="M20" s="61" t="n"/>
      <c r="N20" s="60" t="n"/>
      <c r="O20" s="60" t="n"/>
      <c r="P20" s="60" t="n"/>
      <c r="Q20" s="60" t="n"/>
      <c r="R20" s="60" t="n"/>
      <c r="S20" s="60" t="n"/>
      <c r="T20" s="60" t="n"/>
      <c r="U20" s="60" t="n"/>
      <c r="V20" s="60" t="n"/>
      <c r="W20" s="60" t="n"/>
      <c r="X20" s="60" t="n"/>
      <c r="Y20" s="63">
        <f>IF($H20="","",TODAY()-$H20)</f>
        <v/>
      </c>
      <c r="Z20" s="63">
        <f>IF($A20="","",IF(AND($F20="Yes",OR($U20="No",$U20="NOT FOUND")),"YES",""))</f>
        <v/>
      </c>
      <c r="AA20" s="66">
        <f>IF($A20="","",TRIM(IF(AND($P20=0,$L20&lt;&gt;"Yes"),"T0-NoSmartcard ","")&amp;IF(AND($J20&lt;&gt;"",$J20&gt;365),"StalePwd ","")&amp;IF($K20="Yes","PwdNeverExpires ","")&amp;IF(AND($S20&lt;&gt;"",$S20&lt;&gt;"None"),"Delegation ","")&amp;IF(AND($Q20=1,$O20="None"),"StaleAdminCount ","")&amp;IF(AND($F20="Yes",$H20=""),"NeverLoggedOn ","")))</f>
        <v/>
      </c>
      <c r="AB20" s="60" t="n"/>
      <c r="AC20" s="61" t="n"/>
      <c r="AD20" s="60" t="n"/>
      <c r="AE20" s="62" t="n"/>
      <c r="AF20" s="62" t="n"/>
      <c r="AG20" s="62" t="n"/>
      <c r="AH20" s="60" t="n"/>
      <c r="AI20" s="61" t="n"/>
      <c r="AJ20" s="63">
        <f>IF($A20="","",IF(AF20="","Not Enrolled",IF(TODAY()&gt;AF20,"Review Overdue",IF(AF20-TODAY()&lt;=30,"Review Due Soon","Active"))))</f>
        <v/>
      </c>
      <c r="AK20" s="63">
        <f>IF($A20="","",IF(AG20="","NOT REVIEWED",IF(TODAY()-AG20&gt;90,"OVERDUE",IF(TODAY()-AG20&gt;76,"Due Soon","Current"))))</f>
        <v/>
      </c>
    </row>
    <row r="21" ht="15" customHeight="1" s="39">
      <c r="A21" s="60" t="n"/>
      <c r="B21" s="60" t="n"/>
      <c r="C21" s="61" t="n"/>
      <c r="D21" s="61" t="n"/>
      <c r="E21" s="60" t="n"/>
      <c r="F21" s="60" t="n"/>
      <c r="G21" s="62" t="n"/>
      <c r="H21" s="62" t="n"/>
      <c r="I21" s="62" t="n"/>
      <c r="J21" s="60" t="n"/>
      <c r="K21" s="60" t="n"/>
      <c r="L21" s="60" t="n"/>
      <c r="M21" s="61" t="n"/>
      <c r="N21" s="60" t="n"/>
      <c r="O21" s="60" t="n"/>
      <c r="P21" s="60" t="n"/>
      <c r="Q21" s="60" t="n"/>
      <c r="R21" s="60" t="n"/>
      <c r="S21" s="60" t="n"/>
      <c r="T21" s="60" t="n"/>
      <c r="U21" s="60" t="n"/>
      <c r="V21" s="60" t="n"/>
      <c r="W21" s="60" t="n"/>
      <c r="X21" s="60" t="n"/>
      <c r="Y21" s="63">
        <f>IF($H21="","",TODAY()-$H21)</f>
        <v/>
      </c>
      <c r="Z21" s="63">
        <f>IF($A21="","",IF(AND($F21="Yes",OR($U21="No",$U21="NOT FOUND")),"YES",""))</f>
        <v/>
      </c>
      <c r="AA21" s="66">
        <f>IF($A21="","",TRIM(IF(AND($P21=0,$L21&lt;&gt;"Yes"),"T0-NoSmartcard ","")&amp;IF(AND($J21&lt;&gt;"",$J21&gt;365),"StalePwd ","")&amp;IF($K21="Yes","PwdNeverExpires ","")&amp;IF(AND($S21&lt;&gt;"",$S21&lt;&gt;"None"),"Delegation ","")&amp;IF(AND($Q21=1,$O21="None"),"StaleAdminCount ","")&amp;IF(AND($F21="Yes",$H21=""),"NeverLoggedOn ","")))</f>
        <v/>
      </c>
      <c r="AB21" s="60" t="n"/>
      <c r="AC21" s="61" t="n"/>
      <c r="AD21" s="60" t="n"/>
      <c r="AE21" s="62" t="n"/>
      <c r="AF21" s="62" t="n"/>
      <c r="AG21" s="62" t="n"/>
      <c r="AH21" s="60" t="n"/>
      <c r="AI21" s="61" t="n"/>
      <c r="AJ21" s="63">
        <f>IF($A21="","",IF(AF21="","Not Enrolled",IF(TODAY()&gt;AF21,"Review Overdue",IF(AF21-TODAY()&lt;=30,"Review Due Soon","Active"))))</f>
        <v/>
      </c>
      <c r="AK21" s="63">
        <f>IF($A21="","",IF(AG21="","NOT REVIEWED",IF(TODAY()-AG21&gt;90,"OVERDUE",IF(TODAY()-AG21&gt;76,"Due Soon","Current"))))</f>
        <v/>
      </c>
    </row>
    <row r="22" ht="15" customHeight="1" s="39">
      <c r="A22" s="60" t="n"/>
      <c r="B22" s="60" t="n"/>
      <c r="C22" s="61" t="n"/>
      <c r="D22" s="61" t="n"/>
      <c r="E22" s="60" t="n"/>
      <c r="F22" s="60" t="n"/>
      <c r="G22" s="62" t="n"/>
      <c r="H22" s="62" t="n"/>
      <c r="I22" s="62" t="n"/>
      <c r="J22" s="60" t="n"/>
      <c r="K22" s="60" t="n"/>
      <c r="L22" s="60" t="n"/>
      <c r="M22" s="61" t="n"/>
      <c r="N22" s="60" t="n"/>
      <c r="O22" s="60" t="n"/>
      <c r="P22" s="60" t="n"/>
      <c r="Q22" s="60" t="n"/>
      <c r="R22" s="60" t="n"/>
      <c r="S22" s="60" t="n"/>
      <c r="T22" s="60" t="n"/>
      <c r="U22" s="60" t="n"/>
      <c r="V22" s="60" t="n"/>
      <c r="W22" s="60" t="n"/>
      <c r="X22" s="60" t="n"/>
      <c r="Y22" s="63">
        <f>IF($H22="","",TODAY()-$H22)</f>
        <v/>
      </c>
      <c r="Z22" s="63">
        <f>IF($A22="","",IF(AND($F22="Yes",OR($U22="No",$U22="NOT FOUND")),"YES",""))</f>
        <v/>
      </c>
      <c r="AA22" s="66">
        <f>IF($A22="","",TRIM(IF(AND($P22=0,$L22&lt;&gt;"Yes"),"T0-NoSmartcard ","")&amp;IF(AND($J22&lt;&gt;"",$J22&gt;365),"StalePwd ","")&amp;IF($K22="Yes","PwdNeverExpires ","")&amp;IF(AND($S22&lt;&gt;"",$S22&lt;&gt;"None"),"Delegation ","")&amp;IF(AND($Q22=1,$O22="None"),"StaleAdminCount ","")&amp;IF(AND($F22="Yes",$H22=""),"NeverLoggedOn ","")))</f>
        <v/>
      </c>
      <c r="AB22" s="60" t="n"/>
      <c r="AC22" s="61" t="n"/>
      <c r="AD22" s="60" t="n"/>
      <c r="AE22" s="62" t="n"/>
      <c r="AF22" s="62" t="n"/>
      <c r="AG22" s="62" t="n"/>
      <c r="AH22" s="60" t="n"/>
      <c r="AI22" s="61" t="n"/>
      <c r="AJ22" s="63">
        <f>IF($A22="","",IF(AF22="","Not Enrolled",IF(TODAY()&gt;AF22,"Review Overdue",IF(AF22-TODAY()&lt;=30,"Review Due Soon","Active"))))</f>
        <v/>
      </c>
      <c r="AK22" s="63">
        <f>IF($A22="","",IF(AG22="","NOT REVIEWED",IF(TODAY()-AG22&gt;90,"OVERDUE",IF(TODAY()-AG22&gt;76,"Due Soon","Current"))))</f>
        <v/>
      </c>
    </row>
    <row r="23" ht="15" customHeight="1" s="39">
      <c r="A23" s="60" t="n"/>
      <c r="B23" s="60" t="n"/>
      <c r="C23" s="61" t="n"/>
      <c r="D23" s="61" t="n"/>
      <c r="E23" s="60" t="n"/>
      <c r="F23" s="60" t="n"/>
      <c r="G23" s="62" t="n"/>
      <c r="H23" s="62" t="n"/>
      <c r="I23" s="62" t="n"/>
      <c r="J23" s="60" t="n"/>
      <c r="K23" s="60" t="n"/>
      <c r="L23" s="60" t="n"/>
      <c r="M23" s="61" t="n"/>
      <c r="N23" s="60" t="n"/>
      <c r="O23" s="60" t="n"/>
      <c r="P23" s="60" t="n"/>
      <c r="Q23" s="60" t="n"/>
      <c r="R23" s="60" t="n"/>
      <c r="S23" s="60" t="n"/>
      <c r="T23" s="60" t="n"/>
      <c r="U23" s="60" t="n"/>
      <c r="V23" s="60" t="n"/>
      <c r="W23" s="60" t="n"/>
      <c r="X23" s="60" t="n"/>
      <c r="Y23" s="63">
        <f>IF($H23="","",TODAY()-$H23)</f>
        <v/>
      </c>
      <c r="Z23" s="63">
        <f>IF($A23="","",IF(AND($F23="Yes",OR($U23="No",$U23="NOT FOUND")),"YES",""))</f>
        <v/>
      </c>
      <c r="AA23" s="66">
        <f>IF($A23="","",TRIM(IF(AND($P23=0,$L23&lt;&gt;"Yes"),"T0-NoSmartcard ","")&amp;IF(AND($J23&lt;&gt;"",$J23&gt;365),"StalePwd ","")&amp;IF($K23="Yes","PwdNeverExpires ","")&amp;IF(AND($S23&lt;&gt;"",$S23&lt;&gt;"None"),"Delegation ","")&amp;IF(AND($Q23=1,$O23="None"),"StaleAdminCount ","")&amp;IF(AND($F23="Yes",$H23=""),"NeverLoggedOn ","")))</f>
        <v/>
      </c>
      <c r="AB23" s="60" t="n"/>
      <c r="AC23" s="61" t="n"/>
      <c r="AD23" s="60" t="n"/>
      <c r="AE23" s="62" t="n"/>
      <c r="AF23" s="62" t="n"/>
      <c r="AG23" s="62" t="n"/>
      <c r="AH23" s="60" t="n"/>
      <c r="AI23" s="61" t="n"/>
      <c r="AJ23" s="63">
        <f>IF($A23="","",IF(AF23="","Not Enrolled",IF(TODAY()&gt;AF23,"Review Overdue",IF(AF23-TODAY()&lt;=30,"Review Due Soon","Active"))))</f>
        <v/>
      </c>
      <c r="AK23" s="63">
        <f>IF($A23="","",IF(AG23="","NOT REVIEWED",IF(TODAY()-AG23&gt;90,"OVERDUE",IF(TODAY()-AG23&gt;76,"Due Soon","Current"))))</f>
        <v/>
      </c>
    </row>
    <row r="24" ht="15" customHeight="1" s="39">
      <c r="A24" s="60" t="n"/>
      <c r="B24" s="60" t="n"/>
      <c r="C24" s="61" t="n"/>
      <c r="D24" s="61" t="n"/>
      <c r="E24" s="60" t="n"/>
      <c r="F24" s="60" t="n"/>
      <c r="G24" s="62" t="n"/>
      <c r="H24" s="62" t="n"/>
      <c r="I24" s="62" t="n"/>
      <c r="J24" s="60" t="n"/>
      <c r="K24" s="60" t="n"/>
      <c r="L24" s="60" t="n"/>
      <c r="M24" s="61" t="n"/>
      <c r="N24" s="60" t="n"/>
      <c r="O24" s="60" t="n"/>
      <c r="P24" s="60" t="n"/>
      <c r="Q24" s="60" t="n"/>
      <c r="R24" s="60" t="n"/>
      <c r="S24" s="60" t="n"/>
      <c r="T24" s="60" t="n"/>
      <c r="U24" s="60" t="n"/>
      <c r="V24" s="60" t="n"/>
      <c r="W24" s="60" t="n"/>
      <c r="X24" s="60" t="n"/>
      <c r="Y24" s="63">
        <f>IF($H24="","",TODAY()-$H24)</f>
        <v/>
      </c>
      <c r="Z24" s="63">
        <f>IF($A24="","",IF(AND($F24="Yes",OR($U24="No",$U24="NOT FOUND")),"YES",""))</f>
        <v/>
      </c>
      <c r="AA24" s="66">
        <f>IF($A24="","",TRIM(IF(AND($P24=0,$L24&lt;&gt;"Yes"),"T0-NoSmartcard ","")&amp;IF(AND($J24&lt;&gt;"",$J24&gt;365),"StalePwd ","")&amp;IF($K24="Yes","PwdNeverExpires ","")&amp;IF(AND($S24&lt;&gt;"",$S24&lt;&gt;"None"),"Delegation ","")&amp;IF(AND($Q24=1,$O24="None"),"StaleAdminCount ","")&amp;IF(AND($F24="Yes",$H24=""),"NeverLoggedOn ","")))</f>
        <v/>
      </c>
      <c r="AB24" s="60" t="n"/>
      <c r="AC24" s="61" t="n"/>
      <c r="AD24" s="60" t="n"/>
      <c r="AE24" s="62" t="n"/>
      <c r="AF24" s="62" t="n"/>
      <c r="AG24" s="62" t="n"/>
      <c r="AH24" s="60" t="n"/>
      <c r="AI24" s="61" t="n"/>
      <c r="AJ24" s="63">
        <f>IF($A24="","",IF(AF24="","Not Enrolled",IF(TODAY()&gt;AF24,"Review Overdue",IF(AF24-TODAY()&lt;=30,"Review Due Soon","Active"))))</f>
        <v/>
      </c>
      <c r="AK24" s="63">
        <f>IF($A24="","",IF(AG24="","NOT REVIEWED",IF(TODAY()-AG24&gt;90,"OVERDUE",IF(TODAY()-AG24&gt;76,"Due Soon","Current"))))</f>
        <v/>
      </c>
    </row>
    <row r="25" ht="15" customHeight="1" s="39">
      <c r="A25" s="60" t="n"/>
      <c r="B25" s="60" t="n"/>
      <c r="C25" s="61" t="n"/>
      <c r="D25" s="61" t="n"/>
      <c r="E25" s="60" t="n"/>
      <c r="F25" s="60" t="n"/>
      <c r="G25" s="62" t="n"/>
      <c r="H25" s="62" t="n"/>
      <c r="I25" s="62" t="n"/>
      <c r="J25" s="60" t="n"/>
      <c r="K25" s="60" t="n"/>
      <c r="L25" s="60" t="n"/>
      <c r="M25" s="61" t="n"/>
      <c r="N25" s="60" t="n"/>
      <c r="O25" s="60" t="n"/>
      <c r="P25" s="60" t="n"/>
      <c r="Q25" s="60" t="n"/>
      <c r="R25" s="60" t="n"/>
      <c r="S25" s="60" t="n"/>
      <c r="T25" s="60" t="n"/>
      <c r="U25" s="60" t="n"/>
      <c r="V25" s="60" t="n"/>
      <c r="W25" s="60" t="n"/>
      <c r="X25" s="60" t="n"/>
      <c r="Y25" s="63">
        <f>IF($H25="","",TODAY()-$H25)</f>
        <v/>
      </c>
      <c r="Z25" s="63">
        <f>IF($A25="","",IF(AND($F25="Yes",OR($U25="No",$U25="NOT FOUND")),"YES",""))</f>
        <v/>
      </c>
      <c r="AA25" s="66">
        <f>IF($A25="","",TRIM(IF(AND($P25=0,$L25&lt;&gt;"Yes"),"T0-NoSmartcard ","")&amp;IF(AND($J25&lt;&gt;"",$J25&gt;365),"StalePwd ","")&amp;IF($K25="Yes","PwdNeverExpires ","")&amp;IF(AND($S25&lt;&gt;"",$S25&lt;&gt;"None"),"Delegation ","")&amp;IF(AND($Q25=1,$O25="None"),"StaleAdminCount ","")&amp;IF(AND($F25="Yes",$H25=""),"NeverLoggedOn ","")))</f>
        <v/>
      </c>
      <c r="AB25" s="60" t="n"/>
      <c r="AC25" s="61" t="n"/>
      <c r="AD25" s="60" t="n"/>
      <c r="AE25" s="62" t="n"/>
      <c r="AF25" s="62" t="n"/>
      <c r="AG25" s="62" t="n"/>
      <c r="AH25" s="60" t="n"/>
      <c r="AI25" s="61" t="n"/>
      <c r="AJ25" s="63">
        <f>IF($A25="","",IF(AF25="","Not Enrolled",IF(TODAY()&gt;AF25,"Review Overdue",IF(AF25-TODAY()&lt;=30,"Review Due Soon","Active"))))</f>
        <v/>
      </c>
      <c r="AK25" s="63">
        <f>IF($A25="","",IF(AG25="","NOT REVIEWED",IF(TODAY()-AG25&gt;90,"OVERDUE",IF(TODAY()-AG25&gt;76,"Due Soon","Current"))))</f>
        <v/>
      </c>
    </row>
    <row r="26" ht="15" customHeight="1" s="39">
      <c r="A26" s="60" t="n"/>
      <c r="B26" s="60" t="n"/>
      <c r="C26" s="61" t="n"/>
      <c r="D26" s="61" t="n"/>
      <c r="E26" s="60" t="n"/>
      <c r="F26" s="60" t="n"/>
      <c r="G26" s="62" t="n"/>
      <c r="H26" s="62" t="n"/>
      <c r="I26" s="62" t="n"/>
      <c r="J26" s="60" t="n"/>
      <c r="K26" s="60" t="n"/>
      <c r="L26" s="60" t="n"/>
      <c r="M26" s="61" t="n"/>
      <c r="N26" s="60" t="n"/>
      <c r="O26" s="60" t="n"/>
      <c r="P26" s="60" t="n"/>
      <c r="Q26" s="60" t="n"/>
      <c r="R26" s="60" t="n"/>
      <c r="S26" s="60" t="n"/>
      <c r="T26" s="60" t="n"/>
      <c r="U26" s="60" t="n"/>
      <c r="V26" s="60" t="n"/>
      <c r="W26" s="60" t="n"/>
      <c r="X26" s="60" t="n"/>
      <c r="Y26" s="63">
        <f>IF($H26="","",TODAY()-$H26)</f>
        <v/>
      </c>
      <c r="Z26" s="63">
        <f>IF($A26="","",IF(AND($F26="Yes",OR($U26="No",$U26="NOT FOUND")),"YES",""))</f>
        <v/>
      </c>
      <c r="AA26" s="66">
        <f>IF($A26="","",TRIM(IF(AND($P26=0,$L26&lt;&gt;"Yes"),"T0-NoSmartcard ","")&amp;IF(AND($J26&lt;&gt;"",$J26&gt;365),"StalePwd ","")&amp;IF($K26="Yes","PwdNeverExpires ","")&amp;IF(AND($S26&lt;&gt;"",$S26&lt;&gt;"None"),"Delegation ","")&amp;IF(AND($Q26=1,$O26="None"),"StaleAdminCount ","")&amp;IF(AND($F26="Yes",$H26=""),"NeverLoggedOn ","")))</f>
        <v/>
      </c>
      <c r="AB26" s="60" t="n"/>
      <c r="AC26" s="61" t="n"/>
      <c r="AD26" s="60" t="n"/>
      <c r="AE26" s="62" t="n"/>
      <c r="AF26" s="62" t="n"/>
      <c r="AG26" s="62" t="n"/>
      <c r="AH26" s="60" t="n"/>
      <c r="AI26" s="61" t="n"/>
      <c r="AJ26" s="63">
        <f>IF($A26="","",IF(AF26="","Not Enrolled",IF(TODAY()&gt;AF26,"Review Overdue",IF(AF26-TODAY()&lt;=30,"Review Due Soon","Active"))))</f>
        <v/>
      </c>
      <c r="AK26" s="63">
        <f>IF($A26="","",IF(AG26="","NOT REVIEWED",IF(TODAY()-AG26&gt;90,"OVERDUE",IF(TODAY()-AG26&gt;76,"Due Soon","Current"))))</f>
        <v/>
      </c>
    </row>
    <row r="27" ht="15" customHeight="1" s="39">
      <c r="A27" s="60" t="n"/>
      <c r="B27" s="60" t="n"/>
      <c r="C27" s="61" t="n"/>
      <c r="D27" s="61" t="n"/>
      <c r="E27" s="60" t="n"/>
      <c r="F27" s="60" t="n"/>
      <c r="G27" s="62" t="n"/>
      <c r="H27" s="62" t="n"/>
      <c r="I27" s="62" t="n"/>
      <c r="J27" s="60" t="n"/>
      <c r="K27" s="60" t="n"/>
      <c r="L27" s="60" t="n"/>
      <c r="M27" s="61" t="n"/>
      <c r="N27" s="60" t="n"/>
      <c r="O27" s="60" t="n"/>
      <c r="P27" s="60" t="n"/>
      <c r="Q27" s="60" t="n"/>
      <c r="R27" s="60" t="n"/>
      <c r="S27" s="60" t="n"/>
      <c r="T27" s="60" t="n"/>
      <c r="U27" s="60" t="n"/>
      <c r="V27" s="60" t="n"/>
      <c r="W27" s="60" t="n"/>
      <c r="X27" s="60" t="n"/>
      <c r="Y27" s="63">
        <f>IF($H27="","",TODAY()-$H27)</f>
        <v/>
      </c>
      <c r="Z27" s="63">
        <f>IF($A27="","",IF(AND($F27="Yes",OR($U27="No",$U27="NOT FOUND")),"YES",""))</f>
        <v/>
      </c>
      <c r="AA27" s="66">
        <f>IF($A27="","",TRIM(IF(AND($P27=0,$L27&lt;&gt;"Yes"),"T0-NoSmartcard ","")&amp;IF(AND($J27&lt;&gt;"",$J27&gt;365),"StalePwd ","")&amp;IF($K27="Yes","PwdNeverExpires ","")&amp;IF(AND($S27&lt;&gt;"",$S27&lt;&gt;"None"),"Delegation ","")&amp;IF(AND($Q27=1,$O27="None"),"StaleAdminCount ","")&amp;IF(AND($F27="Yes",$H27=""),"NeverLoggedOn ","")))</f>
        <v/>
      </c>
      <c r="AB27" s="60" t="n"/>
      <c r="AC27" s="61" t="n"/>
      <c r="AD27" s="60" t="n"/>
      <c r="AE27" s="62" t="n"/>
      <c r="AF27" s="62" t="n"/>
      <c r="AG27" s="62" t="n"/>
      <c r="AH27" s="60" t="n"/>
      <c r="AI27" s="61" t="n"/>
      <c r="AJ27" s="63">
        <f>IF($A27="","",IF(AF27="","Not Enrolled",IF(TODAY()&gt;AF27,"Review Overdue",IF(AF27-TODAY()&lt;=30,"Review Due Soon","Active"))))</f>
        <v/>
      </c>
      <c r="AK27" s="63">
        <f>IF($A27="","",IF(AG27="","NOT REVIEWED",IF(TODAY()-AG27&gt;90,"OVERDUE",IF(TODAY()-AG27&gt;76,"Due Soon","Current"))))</f>
        <v/>
      </c>
    </row>
    <row r="28" ht="15" customHeight="1" s="39">
      <c r="A28" s="60" t="n"/>
      <c r="B28" s="60" t="n"/>
      <c r="C28" s="61" t="n"/>
      <c r="D28" s="61" t="n"/>
      <c r="E28" s="60" t="n"/>
      <c r="F28" s="60" t="n"/>
      <c r="G28" s="62" t="n"/>
      <c r="H28" s="62" t="n"/>
      <c r="I28" s="62" t="n"/>
      <c r="J28" s="60" t="n"/>
      <c r="K28" s="60" t="n"/>
      <c r="L28" s="60" t="n"/>
      <c r="M28" s="61" t="n"/>
      <c r="N28" s="60" t="n"/>
      <c r="O28" s="60" t="n"/>
      <c r="P28" s="60" t="n"/>
      <c r="Q28" s="60" t="n"/>
      <c r="R28" s="60" t="n"/>
      <c r="S28" s="60" t="n"/>
      <c r="T28" s="60" t="n"/>
      <c r="U28" s="60" t="n"/>
      <c r="V28" s="60" t="n"/>
      <c r="W28" s="60" t="n"/>
      <c r="X28" s="60" t="n"/>
      <c r="Y28" s="63">
        <f>IF($H28="","",TODAY()-$H28)</f>
        <v/>
      </c>
      <c r="Z28" s="63">
        <f>IF($A28="","",IF(AND($F28="Yes",OR($U28="No",$U28="NOT FOUND")),"YES",""))</f>
        <v/>
      </c>
      <c r="AA28" s="66">
        <f>IF($A28="","",TRIM(IF(AND($P28=0,$L28&lt;&gt;"Yes"),"T0-NoSmartcard ","")&amp;IF(AND($J28&lt;&gt;"",$J28&gt;365),"StalePwd ","")&amp;IF($K28="Yes","PwdNeverExpires ","")&amp;IF(AND($S28&lt;&gt;"",$S28&lt;&gt;"None"),"Delegation ","")&amp;IF(AND($Q28=1,$O28="None"),"StaleAdminCount ","")&amp;IF(AND($F28="Yes",$H28=""),"NeverLoggedOn ","")))</f>
        <v/>
      </c>
      <c r="AB28" s="60" t="n"/>
      <c r="AC28" s="61" t="n"/>
      <c r="AD28" s="60" t="n"/>
      <c r="AE28" s="62" t="n"/>
      <c r="AF28" s="62" t="n"/>
      <c r="AG28" s="62" t="n"/>
      <c r="AH28" s="60" t="n"/>
      <c r="AI28" s="61" t="n"/>
      <c r="AJ28" s="63">
        <f>IF($A28="","",IF(AF28="","Not Enrolled",IF(TODAY()&gt;AF28,"Review Overdue",IF(AF28-TODAY()&lt;=30,"Review Due Soon","Active"))))</f>
        <v/>
      </c>
      <c r="AK28" s="63">
        <f>IF($A28="","",IF(AG28="","NOT REVIEWED",IF(TODAY()-AG28&gt;90,"OVERDUE",IF(TODAY()-AG28&gt;76,"Due Soon","Current"))))</f>
        <v/>
      </c>
    </row>
    <row r="29" ht="15" customHeight="1" s="39">
      <c r="A29" s="60" t="n"/>
      <c r="B29" s="60" t="n"/>
      <c r="C29" s="61" t="n"/>
      <c r="D29" s="61" t="n"/>
      <c r="E29" s="60" t="n"/>
      <c r="F29" s="60" t="n"/>
      <c r="G29" s="62" t="n"/>
      <c r="H29" s="62" t="n"/>
      <c r="I29" s="62" t="n"/>
      <c r="J29" s="60" t="n"/>
      <c r="K29" s="60" t="n"/>
      <c r="L29" s="60" t="n"/>
      <c r="M29" s="61" t="n"/>
      <c r="N29" s="60" t="n"/>
      <c r="O29" s="60" t="n"/>
      <c r="P29" s="60" t="n"/>
      <c r="Q29" s="60" t="n"/>
      <c r="R29" s="60" t="n"/>
      <c r="S29" s="60" t="n"/>
      <c r="T29" s="60" t="n"/>
      <c r="U29" s="60" t="n"/>
      <c r="V29" s="60" t="n"/>
      <c r="W29" s="60" t="n"/>
      <c r="X29" s="60" t="n"/>
      <c r="Y29" s="63">
        <f>IF($H29="","",TODAY()-$H29)</f>
        <v/>
      </c>
      <c r="Z29" s="63">
        <f>IF($A29="","",IF(AND($F29="Yes",OR($U29="No",$U29="NOT FOUND")),"YES",""))</f>
        <v/>
      </c>
      <c r="AA29" s="66">
        <f>IF($A29="","",TRIM(IF(AND($P29=0,$L29&lt;&gt;"Yes"),"T0-NoSmartcard ","")&amp;IF(AND($J29&lt;&gt;"",$J29&gt;365),"StalePwd ","")&amp;IF($K29="Yes","PwdNeverExpires ","")&amp;IF(AND($S29&lt;&gt;"",$S29&lt;&gt;"None"),"Delegation ","")&amp;IF(AND($Q29=1,$O29="None"),"StaleAdminCount ","")&amp;IF(AND($F29="Yes",$H29=""),"NeverLoggedOn ","")))</f>
        <v/>
      </c>
      <c r="AB29" s="60" t="n"/>
      <c r="AC29" s="61" t="n"/>
      <c r="AD29" s="60" t="n"/>
      <c r="AE29" s="62" t="n"/>
      <c r="AF29" s="62" t="n"/>
      <c r="AG29" s="62" t="n"/>
      <c r="AH29" s="60" t="n"/>
      <c r="AI29" s="61" t="n"/>
      <c r="AJ29" s="63">
        <f>IF($A29="","",IF(AF29="","Not Enrolled",IF(TODAY()&gt;AF29,"Review Overdue",IF(AF29-TODAY()&lt;=30,"Review Due Soon","Active"))))</f>
        <v/>
      </c>
      <c r="AK29" s="63">
        <f>IF($A29="","",IF(AG29="","NOT REVIEWED",IF(TODAY()-AG29&gt;90,"OVERDUE",IF(TODAY()-AG29&gt;76,"Due Soon","Current"))))</f>
        <v/>
      </c>
    </row>
    <row r="30" ht="15" customHeight="1" s="39">
      <c r="A30" s="60" t="n"/>
      <c r="B30" s="60" t="n"/>
      <c r="C30" s="61" t="n"/>
      <c r="D30" s="61" t="n"/>
      <c r="E30" s="60" t="n"/>
      <c r="F30" s="60" t="n"/>
      <c r="G30" s="62" t="n"/>
      <c r="H30" s="62" t="n"/>
      <c r="I30" s="62" t="n"/>
      <c r="J30" s="60" t="n"/>
      <c r="K30" s="60" t="n"/>
      <c r="L30" s="60" t="n"/>
      <c r="M30" s="61" t="n"/>
      <c r="N30" s="60" t="n"/>
      <c r="O30" s="60" t="n"/>
      <c r="P30" s="60" t="n"/>
      <c r="Q30" s="60" t="n"/>
      <c r="R30" s="60" t="n"/>
      <c r="S30" s="60" t="n"/>
      <c r="T30" s="60" t="n"/>
      <c r="U30" s="60" t="n"/>
      <c r="V30" s="60" t="n"/>
      <c r="W30" s="60" t="n"/>
      <c r="X30" s="60" t="n"/>
      <c r="Y30" s="63">
        <f>IF($H30="","",TODAY()-$H30)</f>
        <v/>
      </c>
      <c r="Z30" s="63">
        <f>IF($A30="","",IF(AND($F30="Yes",OR($U30="No",$U30="NOT FOUND")),"YES",""))</f>
        <v/>
      </c>
      <c r="AA30" s="66">
        <f>IF($A30="","",TRIM(IF(AND($P30=0,$L30&lt;&gt;"Yes"),"T0-NoSmartcard ","")&amp;IF(AND($J30&lt;&gt;"",$J30&gt;365),"StalePwd ","")&amp;IF($K30="Yes","PwdNeverExpires ","")&amp;IF(AND($S30&lt;&gt;"",$S30&lt;&gt;"None"),"Delegation ","")&amp;IF(AND($Q30=1,$O30="None"),"StaleAdminCount ","")&amp;IF(AND($F30="Yes",$H30=""),"NeverLoggedOn ","")))</f>
        <v/>
      </c>
      <c r="AB30" s="60" t="n"/>
      <c r="AC30" s="61" t="n"/>
      <c r="AD30" s="60" t="n"/>
      <c r="AE30" s="62" t="n"/>
      <c r="AF30" s="62" t="n"/>
      <c r="AG30" s="62" t="n"/>
      <c r="AH30" s="60" t="n"/>
      <c r="AI30" s="61" t="n"/>
      <c r="AJ30" s="63">
        <f>IF($A30="","",IF(AF30="","Not Enrolled",IF(TODAY()&gt;AF30,"Review Overdue",IF(AF30-TODAY()&lt;=30,"Review Due Soon","Active"))))</f>
        <v/>
      </c>
      <c r="AK30" s="63">
        <f>IF($A30="","",IF(AG30="","NOT REVIEWED",IF(TODAY()-AG30&gt;90,"OVERDUE",IF(TODAY()-AG30&gt;76,"Due Soon","Current"))))</f>
        <v/>
      </c>
    </row>
    <row r="31" ht="15" customHeight="1" s="39">
      <c r="A31" s="60" t="n"/>
      <c r="B31" s="60" t="n"/>
      <c r="C31" s="61" t="n"/>
      <c r="D31" s="61" t="n"/>
      <c r="E31" s="60" t="n"/>
      <c r="F31" s="60" t="n"/>
      <c r="G31" s="62" t="n"/>
      <c r="H31" s="62" t="n"/>
      <c r="I31" s="62" t="n"/>
      <c r="J31" s="60" t="n"/>
      <c r="K31" s="60" t="n"/>
      <c r="L31" s="60" t="n"/>
      <c r="M31" s="61" t="n"/>
      <c r="N31" s="60" t="n"/>
      <c r="O31" s="60" t="n"/>
      <c r="P31" s="60" t="n"/>
      <c r="Q31" s="60" t="n"/>
      <c r="R31" s="60" t="n"/>
      <c r="S31" s="60" t="n"/>
      <c r="T31" s="60" t="n"/>
      <c r="U31" s="60" t="n"/>
      <c r="V31" s="60" t="n"/>
      <c r="W31" s="60" t="n"/>
      <c r="X31" s="60" t="n"/>
      <c r="Y31" s="63">
        <f>IF($H31="","",TODAY()-$H31)</f>
        <v/>
      </c>
      <c r="Z31" s="63">
        <f>IF($A31="","",IF(AND($F31="Yes",OR($U31="No",$U31="NOT FOUND")),"YES",""))</f>
        <v/>
      </c>
      <c r="AA31" s="66">
        <f>IF($A31="","",TRIM(IF(AND($P31=0,$L31&lt;&gt;"Yes"),"T0-NoSmartcard ","")&amp;IF(AND($J31&lt;&gt;"",$J31&gt;365),"StalePwd ","")&amp;IF($K31="Yes","PwdNeverExpires ","")&amp;IF(AND($S31&lt;&gt;"",$S31&lt;&gt;"None"),"Delegation ","")&amp;IF(AND($Q31=1,$O31="None"),"StaleAdminCount ","")&amp;IF(AND($F31="Yes",$H31=""),"NeverLoggedOn ","")))</f>
        <v/>
      </c>
      <c r="AB31" s="60" t="n"/>
      <c r="AC31" s="61" t="n"/>
      <c r="AD31" s="60" t="n"/>
      <c r="AE31" s="62" t="n"/>
      <c r="AF31" s="62" t="n"/>
      <c r="AG31" s="62" t="n"/>
      <c r="AH31" s="60" t="n"/>
      <c r="AI31" s="61" t="n"/>
      <c r="AJ31" s="63">
        <f>IF($A31="","",IF(AF31="","Not Enrolled",IF(TODAY()&gt;AF31,"Review Overdue",IF(AF31-TODAY()&lt;=30,"Review Due Soon","Active"))))</f>
        <v/>
      </c>
      <c r="AK31" s="63">
        <f>IF($A31="","",IF(AG31="","NOT REVIEWED",IF(TODAY()-AG31&gt;90,"OVERDUE",IF(TODAY()-AG31&gt;76,"Due Soon","Current"))))</f>
        <v/>
      </c>
    </row>
    <row r="32" ht="15" customHeight="1" s="39">
      <c r="A32" s="60" t="n"/>
      <c r="B32" s="60" t="n"/>
      <c r="C32" s="61" t="n"/>
      <c r="D32" s="61" t="n"/>
      <c r="E32" s="60" t="n"/>
      <c r="F32" s="60" t="n"/>
      <c r="G32" s="62" t="n"/>
      <c r="H32" s="62" t="n"/>
      <c r="I32" s="62" t="n"/>
      <c r="J32" s="60" t="n"/>
      <c r="K32" s="60" t="n"/>
      <c r="L32" s="60" t="n"/>
      <c r="M32" s="61" t="n"/>
      <c r="N32" s="60" t="n"/>
      <c r="O32" s="60" t="n"/>
      <c r="P32" s="60" t="n"/>
      <c r="Q32" s="60" t="n"/>
      <c r="R32" s="60" t="n"/>
      <c r="S32" s="60" t="n"/>
      <c r="T32" s="60" t="n"/>
      <c r="U32" s="60" t="n"/>
      <c r="V32" s="60" t="n"/>
      <c r="W32" s="60" t="n"/>
      <c r="X32" s="60" t="n"/>
      <c r="Y32" s="63">
        <f>IF($H32="","",TODAY()-$H32)</f>
        <v/>
      </c>
      <c r="Z32" s="63">
        <f>IF($A32="","",IF(AND($F32="Yes",OR($U32="No",$U32="NOT FOUND")),"YES",""))</f>
        <v/>
      </c>
      <c r="AA32" s="66">
        <f>IF($A32="","",TRIM(IF(AND($P32=0,$L32&lt;&gt;"Yes"),"T0-NoSmartcard ","")&amp;IF(AND($J32&lt;&gt;"",$J32&gt;365),"StalePwd ","")&amp;IF($K32="Yes","PwdNeverExpires ","")&amp;IF(AND($S32&lt;&gt;"",$S32&lt;&gt;"None"),"Delegation ","")&amp;IF(AND($Q32=1,$O32="None"),"StaleAdminCount ","")&amp;IF(AND($F32="Yes",$H32=""),"NeverLoggedOn ","")))</f>
        <v/>
      </c>
      <c r="AB32" s="60" t="n"/>
      <c r="AC32" s="61" t="n"/>
      <c r="AD32" s="60" t="n"/>
      <c r="AE32" s="62" t="n"/>
      <c r="AF32" s="62" t="n"/>
      <c r="AG32" s="62" t="n"/>
      <c r="AH32" s="60" t="n"/>
      <c r="AI32" s="61" t="n"/>
      <c r="AJ32" s="63">
        <f>IF($A32="","",IF(AF32="","Not Enrolled",IF(TODAY()&gt;AF32,"Review Overdue",IF(AF32-TODAY()&lt;=30,"Review Due Soon","Active"))))</f>
        <v/>
      </c>
      <c r="AK32" s="63">
        <f>IF($A32="","",IF(AG32="","NOT REVIEWED",IF(TODAY()-AG32&gt;90,"OVERDUE",IF(TODAY()-AG32&gt;76,"Due Soon","Current"))))</f>
        <v/>
      </c>
    </row>
    <row r="33" ht="15" customHeight="1" s="39">
      <c r="A33" s="60" t="n"/>
      <c r="B33" s="60" t="n"/>
      <c r="C33" s="61" t="n"/>
      <c r="D33" s="61" t="n"/>
      <c r="E33" s="60" t="n"/>
      <c r="F33" s="60" t="n"/>
      <c r="G33" s="62" t="n"/>
      <c r="H33" s="62" t="n"/>
      <c r="I33" s="62" t="n"/>
      <c r="J33" s="60" t="n"/>
      <c r="K33" s="60" t="n"/>
      <c r="L33" s="60" t="n"/>
      <c r="M33" s="61" t="n"/>
      <c r="N33" s="60" t="n"/>
      <c r="O33" s="60" t="n"/>
      <c r="P33" s="60" t="n"/>
      <c r="Q33" s="60" t="n"/>
      <c r="R33" s="60" t="n"/>
      <c r="S33" s="60" t="n"/>
      <c r="T33" s="60" t="n"/>
      <c r="U33" s="60" t="n"/>
      <c r="V33" s="60" t="n"/>
      <c r="W33" s="60" t="n"/>
      <c r="X33" s="60" t="n"/>
      <c r="Y33" s="63">
        <f>IF($H33="","",TODAY()-$H33)</f>
        <v/>
      </c>
      <c r="Z33" s="63">
        <f>IF($A33="","",IF(AND($F33="Yes",OR($U33="No",$U33="NOT FOUND")),"YES",""))</f>
        <v/>
      </c>
      <c r="AA33" s="66">
        <f>IF($A33="","",TRIM(IF(AND($P33=0,$L33&lt;&gt;"Yes"),"T0-NoSmartcard ","")&amp;IF(AND($J33&lt;&gt;"",$J33&gt;365),"StalePwd ","")&amp;IF($K33="Yes","PwdNeverExpires ","")&amp;IF(AND($S33&lt;&gt;"",$S33&lt;&gt;"None"),"Delegation ","")&amp;IF(AND($Q33=1,$O33="None"),"StaleAdminCount ","")&amp;IF(AND($F33="Yes",$H33=""),"NeverLoggedOn ","")))</f>
        <v/>
      </c>
      <c r="AB33" s="60" t="n"/>
      <c r="AC33" s="61" t="n"/>
      <c r="AD33" s="60" t="n"/>
      <c r="AE33" s="62" t="n"/>
      <c r="AF33" s="62" t="n"/>
      <c r="AG33" s="62" t="n"/>
      <c r="AH33" s="60" t="n"/>
      <c r="AI33" s="61" t="n"/>
      <c r="AJ33" s="63">
        <f>IF($A33="","",IF(AF33="","Not Enrolled",IF(TODAY()&gt;AF33,"Review Overdue",IF(AF33-TODAY()&lt;=30,"Review Due Soon","Active"))))</f>
        <v/>
      </c>
      <c r="AK33" s="63">
        <f>IF($A33="","",IF(AG33="","NOT REVIEWED",IF(TODAY()-AG33&gt;90,"OVERDUE",IF(TODAY()-AG33&gt;76,"Due Soon","Current"))))</f>
        <v/>
      </c>
    </row>
    <row r="34" ht="15" customHeight="1" s="39">
      <c r="A34" s="60" t="n"/>
      <c r="B34" s="60" t="n"/>
      <c r="C34" s="61" t="n"/>
      <c r="D34" s="61" t="n"/>
      <c r="E34" s="60" t="n"/>
      <c r="F34" s="60" t="n"/>
      <c r="G34" s="62" t="n"/>
      <c r="H34" s="62" t="n"/>
      <c r="I34" s="62" t="n"/>
      <c r="J34" s="60" t="n"/>
      <c r="K34" s="60" t="n"/>
      <c r="L34" s="60" t="n"/>
      <c r="M34" s="61" t="n"/>
      <c r="N34" s="60" t="n"/>
      <c r="O34" s="60" t="n"/>
      <c r="P34" s="60" t="n"/>
      <c r="Q34" s="60" t="n"/>
      <c r="R34" s="60" t="n"/>
      <c r="S34" s="60" t="n"/>
      <c r="T34" s="60" t="n"/>
      <c r="U34" s="60" t="n"/>
      <c r="V34" s="60" t="n"/>
      <c r="W34" s="60" t="n"/>
      <c r="X34" s="60" t="n"/>
      <c r="Y34" s="63">
        <f>IF($H34="","",TODAY()-$H34)</f>
        <v/>
      </c>
      <c r="Z34" s="63">
        <f>IF($A34="","",IF(AND($F34="Yes",OR($U34="No",$U34="NOT FOUND")),"YES",""))</f>
        <v/>
      </c>
      <c r="AA34" s="66">
        <f>IF($A34="","",TRIM(IF(AND($P34=0,$L34&lt;&gt;"Yes"),"T0-NoSmartcard ","")&amp;IF(AND($J34&lt;&gt;"",$J34&gt;365),"StalePwd ","")&amp;IF($K34="Yes","PwdNeverExpires ","")&amp;IF(AND($S34&lt;&gt;"",$S34&lt;&gt;"None"),"Delegation ","")&amp;IF(AND($Q34=1,$O34="None"),"StaleAdminCount ","")&amp;IF(AND($F34="Yes",$H34=""),"NeverLoggedOn ","")))</f>
        <v/>
      </c>
      <c r="AB34" s="60" t="n"/>
      <c r="AC34" s="61" t="n"/>
      <c r="AD34" s="60" t="n"/>
      <c r="AE34" s="62" t="n"/>
      <c r="AF34" s="62" t="n"/>
      <c r="AG34" s="62" t="n"/>
      <c r="AH34" s="60" t="n"/>
      <c r="AI34" s="61" t="n"/>
      <c r="AJ34" s="63">
        <f>IF($A34="","",IF(AF34="","Not Enrolled",IF(TODAY()&gt;AF34,"Review Overdue",IF(AF34-TODAY()&lt;=30,"Review Due Soon","Active"))))</f>
        <v/>
      </c>
      <c r="AK34" s="63">
        <f>IF($A34="","",IF(AG34="","NOT REVIEWED",IF(TODAY()-AG34&gt;90,"OVERDUE",IF(TODAY()-AG34&gt;76,"Due Soon","Current"))))</f>
        <v/>
      </c>
    </row>
    <row r="35" ht="15" customHeight="1" s="39">
      <c r="A35" s="60" t="n"/>
      <c r="B35" s="60" t="n"/>
      <c r="C35" s="61" t="n"/>
      <c r="D35" s="61" t="n"/>
      <c r="E35" s="60" t="n"/>
      <c r="F35" s="60" t="n"/>
      <c r="G35" s="62" t="n"/>
      <c r="H35" s="62" t="n"/>
      <c r="I35" s="62" t="n"/>
      <c r="J35" s="60" t="n"/>
      <c r="K35" s="60" t="n"/>
      <c r="L35" s="60" t="n"/>
      <c r="M35" s="61" t="n"/>
      <c r="N35" s="60" t="n"/>
      <c r="O35" s="60" t="n"/>
      <c r="P35" s="60" t="n"/>
      <c r="Q35" s="60" t="n"/>
      <c r="R35" s="60" t="n"/>
      <c r="S35" s="60" t="n"/>
      <c r="T35" s="60" t="n"/>
      <c r="U35" s="60" t="n"/>
      <c r="V35" s="60" t="n"/>
      <c r="W35" s="60" t="n"/>
      <c r="X35" s="60" t="n"/>
      <c r="Y35" s="63">
        <f>IF($H35="","",TODAY()-$H35)</f>
        <v/>
      </c>
      <c r="Z35" s="63">
        <f>IF($A35="","",IF(AND($F35="Yes",OR($U35="No",$U35="NOT FOUND")),"YES",""))</f>
        <v/>
      </c>
      <c r="AA35" s="66">
        <f>IF($A35="","",TRIM(IF(AND($P35=0,$L35&lt;&gt;"Yes"),"T0-NoSmartcard ","")&amp;IF(AND($J35&lt;&gt;"",$J35&gt;365),"StalePwd ","")&amp;IF($K35="Yes","PwdNeverExpires ","")&amp;IF(AND($S35&lt;&gt;"",$S35&lt;&gt;"None"),"Delegation ","")&amp;IF(AND($Q35=1,$O35="None"),"StaleAdminCount ","")&amp;IF(AND($F35="Yes",$H35=""),"NeverLoggedOn ","")))</f>
        <v/>
      </c>
      <c r="AB35" s="60" t="n"/>
      <c r="AC35" s="61" t="n"/>
      <c r="AD35" s="60" t="n"/>
      <c r="AE35" s="62" t="n"/>
      <c r="AF35" s="62" t="n"/>
      <c r="AG35" s="62" t="n"/>
      <c r="AH35" s="60" t="n"/>
      <c r="AI35" s="61" t="n"/>
      <c r="AJ35" s="63">
        <f>IF($A35="","",IF(AF35="","Not Enrolled",IF(TODAY()&gt;AF35,"Review Overdue",IF(AF35-TODAY()&lt;=30,"Review Due Soon","Active"))))</f>
        <v/>
      </c>
      <c r="AK35" s="63">
        <f>IF($A35="","",IF(AG35="","NOT REVIEWED",IF(TODAY()-AG35&gt;90,"OVERDUE",IF(TODAY()-AG35&gt;76,"Due Soon","Current"))))</f>
        <v/>
      </c>
    </row>
    <row r="36" ht="15" customHeight="1" s="39">
      <c r="A36" s="60" t="n"/>
      <c r="B36" s="60" t="n"/>
      <c r="C36" s="61" t="n"/>
      <c r="D36" s="61" t="n"/>
      <c r="E36" s="60" t="n"/>
      <c r="F36" s="60" t="n"/>
      <c r="G36" s="62" t="n"/>
      <c r="H36" s="62" t="n"/>
      <c r="I36" s="62" t="n"/>
      <c r="J36" s="60" t="n"/>
      <c r="K36" s="60" t="n"/>
      <c r="L36" s="60" t="n"/>
      <c r="M36" s="61" t="n"/>
      <c r="N36" s="60" t="n"/>
      <c r="O36" s="60" t="n"/>
      <c r="P36" s="60" t="n"/>
      <c r="Q36" s="60" t="n"/>
      <c r="R36" s="60" t="n"/>
      <c r="S36" s="60" t="n"/>
      <c r="T36" s="60" t="n"/>
      <c r="U36" s="60" t="n"/>
      <c r="V36" s="60" t="n"/>
      <c r="W36" s="60" t="n"/>
      <c r="X36" s="60" t="n"/>
      <c r="Y36" s="63">
        <f>IF($H36="","",TODAY()-$H36)</f>
        <v/>
      </c>
      <c r="Z36" s="63">
        <f>IF($A36="","",IF(AND($F36="Yes",OR($U36="No",$U36="NOT FOUND")),"YES",""))</f>
        <v/>
      </c>
      <c r="AA36" s="66">
        <f>IF($A36="","",TRIM(IF(AND($P36=0,$L36&lt;&gt;"Yes"),"T0-NoSmartcard ","")&amp;IF(AND($J36&lt;&gt;"",$J36&gt;365),"StalePwd ","")&amp;IF($K36="Yes","PwdNeverExpires ","")&amp;IF(AND($S36&lt;&gt;"",$S36&lt;&gt;"None"),"Delegation ","")&amp;IF(AND($Q36=1,$O36="None"),"StaleAdminCount ","")&amp;IF(AND($F36="Yes",$H36=""),"NeverLoggedOn ","")))</f>
        <v/>
      </c>
      <c r="AB36" s="60" t="n"/>
      <c r="AC36" s="61" t="n"/>
      <c r="AD36" s="60" t="n"/>
      <c r="AE36" s="62" t="n"/>
      <c r="AF36" s="62" t="n"/>
      <c r="AG36" s="62" t="n"/>
      <c r="AH36" s="60" t="n"/>
      <c r="AI36" s="61" t="n"/>
      <c r="AJ36" s="63">
        <f>IF($A36="","",IF(AF36="","Not Enrolled",IF(TODAY()&gt;AF36,"Review Overdue",IF(AF36-TODAY()&lt;=30,"Review Due Soon","Active"))))</f>
        <v/>
      </c>
      <c r="AK36" s="63">
        <f>IF($A36="","",IF(AG36="","NOT REVIEWED",IF(TODAY()-AG36&gt;90,"OVERDUE",IF(TODAY()-AG36&gt;76,"Due Soon","Current"))))</f>
        <v/>
      </c>
    </row>
    <row r="37" ht="15" customHeight="1" s="39">
      <c r="A37" s="60" t="n"/>
      <c r="B37" s="60" t="n"/>
      <c r="C37" s="61" t="n"/>
      <c r="D37" s="61" t="n"/>
      <c r="E37" s="60" t="n"/>
      <c r="F37" s="60" t="n"/>
      <c r="G37" s="62" t="n"/>
      <c r="H37" s="62" t="n"/>
      <c r="I37" s="62" t="n"/>
      <c r="J37" s="60" t="n"/>
      <c r="K37" s="60" t="n"/>
      <c r="L37" s="60" t="n"/>
      <c r="M37" s="61" t="n"/>
      <c r="N37" s="60" t="n"/>
      <c r="O37" s="60" t="n"/>
      <c r="P37" s="60" t="n"/>
      <c r="Q37" s="60" t="n"/>
      <c r="R37" s="60" t="n"/>
      <c r="S37" s="60" t="n"/>
      <c r="T37" s="60" t="n"/>
      <c r="U37" s="60" t="n"/>
      <c r="V37" s="60" t="n"/>
      <c r="W37" s="60" t="n"/>
      <c r="X37" s="60" t="n"/>
      <c r="Y37" s="63">
        <f>IF($H37="","",TODAY()-$H37)</f>
        <v/>
      </c>
      <c r="Z37" s="63">
        <f>IF($A37="","",IF(AND($F37="Yes",OR($U37="No",$U37="NOT FOUND")),"YES",""))</f>
        <v/>
      </c>
      <c r="AA37" s="66">
        <f>IF($A37="","",TRIM(IF(AND($P37=0,$L37&lt;&gt;"Yes"),"T0-NoSmartcard ","")&amp;IF(AND($J37&lt;&gt;"",$J37&gt;365),"StalePwd ","")&amp;IF($K37="Yes","PwdNeverExpires ","")&amp;IF(AND($S37&lt;&gt;"",$S37&lt;&gt;"None"),"Delegation ","")&amp;IF(AND($Q37=1,$O37="None"),"StaleAdminCount ","")&amp;IF(AND($F37="Yes",$H37=""),"NeverLoggedOn ","")))</f>
        <v/>
      </c>
      <c r="AB37" s="60" t="n"/>
      <c r="AC37" s="61" t="n"/>
      <c r="AD37" s="60" t="n"/>
      <c r="AE37" s="62" t="n"/>
      <c r="AF37" s="62" t="n"/>
      <c r="AG37" s="62" t="n"/>
      <c r="AH37" s="60" t="n"/>
      <c r="AI37" s="61" t="n"/>
      <c r="AJ37" s="63">
        <f>IF($A37="","",IF(AF37="","Not Enrolled",IF(TODAY()&gt;AF37,"Review Overdue",IF(AF37-TODAY()&lt;=30,"Review Due Soon","Active"))))</f>
        <v/>
      </c>
      <c r="AK37" s="63">
        <f>IF($A37="","",IF(AG37="","NOT REVIEWED",IF(TODAY()-AG37&gt;90,"OVERDUE",IF(TODAY()-AG37&gt;76,"Due Soon","Current"))))</f>
        <v/>
      </c>
    </row>
    <row r="38" ht="15" customHeight="1" s="39">
      <c r="A38" s="60" t="n"/>
      <c r="B38" s="60" t="n"/>
      <c r="C38" s="61" t="n"/>
      <c r="D38" s="61" t="n"/>
      <c r="E38" s="60" t="n"/>
      <c r="F38" s="60" t="n"/>
      <c r="G38" s="62" t="n"/>
      <c r="H38" s="62" t="n"/>
      <c r="I38" s="62" t="n"/>
      <c r="J38" s="60" t="n"/>
      <c r="K38" s="60" t="n"/>
      <c r="L38" s="60" t="n"/>
      <c r="M38" s="61" t="n"/>
      <c r="N38" s="60" t="n"/>
      <c r="O38" s="60" t="n"/>
      <c r="P38" s="60" t="n"/>
      <c r="Q38" s="60" t="n"/>
      <c r="R38" s="60" t="n"/>
      <c r="S38" s="60" t="n"/>
      <c r="T38" s="60" t="n"/>
      <c r="U38" s="60" t="n"/>
      <c r="V38" s="60" t="n"/>
      <c r="W38" s="60" t="n"/>
      <c r="X38" s="60" t="n"/>
      <c r="Y38" s="63">
        <f>IF($H38="","",TODAY()-$H38)</f>
        <v/>
      </c>
      <c r="Z38" s="63">
        <f>IF($A38="","",IF(AND($F38="Yes",OR($U38="No",$U38="NOT FOUND")),"YES",""))</f>
        <v/>
      </c>
      <c r="AA38" s="66">
        <f>IF($A38="","",TRIM(IF(AND($P38=0,$L38&lt;&gt;"Yes"),"T0-NoSmartcard ","")&amp;IF(AND($J38&lt;&gt;"",$J38&gt;365),"StalePwd ","")&amp;IF($K38="Yes","PwdNeverExpires ","")&amp;IF(AND($S38&lt;&gt;"",$S38&lt;&gt;"None"),"Delegation ","")&amp;IF(AND($Q38=1,$O38="None"),"StaleAdminCount ","")&amp;IF(AND($F38="Yes",$H38=""),"NeverLoggedOn ","")))</f>
        <v/>
      </c>
      <c r="AB38" s="60" t="n"/>
      <c r="AC38" s="61" t="n"/>
      <c r="AD38" s="60" t="n"/>
      <c r="AE38" s="62" t="n"/>
      <c r="AF38" s="62" t="n"/>
      <c r="AG38" s="62" t="n"/>
      <c r="AH38" s="60" t="n"/>
      <c r="AI38" s="61" t="n"/>
      <c r="AJ38" s="63">
        <f>IF($A38="","",IF(AF38="","Not Enrolled",IF(TODAY()&gt;AF38,"Review Overdue",IF(AF38-TODAY()&lt;=30,"Review Due Soon","Active"))))</f>
        <v/>
      </c>
      <c r="AK38" s="63">
        <f>IF($A38="","",IF(AG38="","NOT REVIEWED",IF(TODAY()-AG38&gt;90,"OVERDUE",IF(TODAY()-AG38&gt;76,"Due Soon","Current"))))</f>
        <v/>
      </c>
    </row>
    <row r="39" ht="15" customHeight="1" s="39">
      <c r="A39" s="60" t="n"/>
      <c r="B39" s="60" t="n"/>
      <c r="C39" s="61" t="n"/>
      <c r="D39" s="61" t="n"/>
      <c r="E39" s="60" t="n"/>
      <c r="F39" s="60" t="n"/>
      <c r="G39" s="62" t="n"/>
      <c r="H39" s="62" t="n"/>
      <c r="I39" s="62" t="n"/>
      <c r="J39" s="60" t="n"/>
      <c r="K39" s="60" t="n"/>
      <c r="L39" s="60" t="n"/>
      <c r="M39" s="61" t="n"/>
      <c r="N39" s="60" t="n"/>
      <c r="O39" s="60" t="n"/>
      <c r="P39" s="60" t="n"/>
      <c r="Q39" s="60" t="n"/>
      <c r="R39" s="60" t="n"/>
      <c r="S39" s="60" t="n"/>
      <c r="T39" s="60" t="n"/>
      <c r="U39" s="60" t="n"/>
      <c r="V39" s="60" t="n"/>
      <c r="W39" s="60" t="n"/>
      <c r="X39" s="60" t="n"/>
      <c r="Y39" s="63">
        <f>IF($H39="","",TODAY()-$H39)</f>
        <v/>
      </c>
      <c r="Z39" s="63">
        <f>IF($A39="","",IF(AND($F39="Yes",OR($U39="No",$U39="NOT FOUND")),"YES",""))</f>
        <v/>
      </c>
      <c r="AA39" s="66">
        <f>IF($A39="","",TRIM(IF(AND($P39=0,$L39&lt;&gt;"Yes"),"T0-NoSmartcard ","")&amp;IF(AND($J39&lt;&gt;"",$J39&gt;365),"StalePwd ","")&amp;IF($K39="Yes","PwdNeverExpires ","")&amp;IF(AND($S39&lt;&gt;"",$S39&lt;&gt;"None"),"Delegation ","")&amp;IF(AND($Q39=1,$O39="None"),"StaleAdminCount ","")&amp;IF(AND($F39="Yes",$H39=""),"NeverLoggedOn ","")))</f>
        <v/>
      </c>
      <c r="AB39" s="60" t="n"/>
      <c r="AC39" s="61" t="n"/>
      <c r="AD39" s="60" t="n"/>
      <c r="AE39" s="62" t="n"/>
      <c r="AF39" s="62" t="n"/>
      <c r="AG39" s="62" t="n"/>
      <c r="AH39" s="60" t="n"/>
      <c r="AI39" s="61" t="n"/>
      <c r="AJ39" s="63">
        <f>IF($A39="","",IF(AF39="","Not Enrolled",IF(TODAY()&gt;AF39,"Review Overdue",IF(AF39-TODAY()&lt;=30,"Review Due Soon","Active"))))</f>
        <v/>
      </c>
      <c r="AK39" s="63">
        <f>IF($A39="","",IF(AG39="","NOT REVIEWED",IF(TODAY()-AG39&gt;90,"OVERDUE",IF(TODAY()-AG39&gt;76,"Due Soon","Current"))))</f>
        <v/>
      </c>
    </row>
    <row r="40" ht="15" customHeight="1" s="39">
      <c r="A40" s="60" t="n"/>
      <c r="B40" s="60" t="n"/>
      <c r="C40" s="61" t="n"/>
      <c r="D40" s="61" t="n"/>
      <c r="E40" s="60" t="n"/>
      <c r="F40" s="60" t="n"/>
      <c r="G40" s="62" t="n"/>
      <c r="H40" s="62" t="n"/>
      <c r="I40" s="62" t="n"/>
      <c r="J40" s="60" t="n"/>
      <c r="K40" s="60" t="n"/>
      <c r="L40" s="60" t="n"/>
      <c r="M40" s="61" t="n"/>
      <c r="N40" s="60" t="n"/>
      <c r="O40" s="60" t="n"/>
      <c r="P40" s="60" t="n"/>
      <c r="Q40" s="60" t="n"/>
      <c r="R40" s="60" t="n"/>
      <c r="S40" s="60" t="n"/>
      <c r="T40" s="60" t="n"/>
      <c r="U40" s="60" t="n"/>
      <c r="V40" s="60" t="n"/>
      <c r="W40" s="60" t="n"/>
      <c r="X40" s="60" t="n"/>
      <c r="Y40" s="63">
        <f>IF($H40="","",TODAY()-$H40)</f>
        <v/>
      </c>
      <c r="Z40" s="63">
        <f>IF($A40="","",IF(AND($F40="Yes",OR($U40="No",$U40="NOT FOUND")),"YES",""))</f>
        <v/>
      </c>
      <c r="AA40" s="66">
        <f>IF($A40="","",TRIM(IF(AND($P40=0,$L40&lt;&gt;"Yes"),"T0-NoSmartcard ","")&amp;IF(AND($J40&lt;&gt;"",$J40&gt;365),"StalePwd ","")&amp;IF($K40="Yes","PwdNeverExpires ","")&amp;IF(AND($S40&lt;&gt;"",$S40&lt;&gt;"None"),"Delegation ","")&amp;IF(AND($Q40=1,$O40="None"),"StaleAdminCount ","")&amp;IF(AND($F40="Yes",$H40=""),"NeverLoggedOn ","")))</f>
        <v/>
      </c>
      <c r="AB40" s="60" t="n"/>
      <c r="AC40" s="61" t="n"/>
      <c r="AD40" s="60" t="n"/>
      <c r="AE40" s="62" t="n"/>
      <c r="AF40" s="62" t="n"/>
      <c r="AG40" s="62" t="n"/>
      <c r="AH40" s="60" t="n"/>
      <c r="AI40" s="61" t="n"/>
      <c r="AJ40" s="63">
        <f>IF($A40="","",IF(AF40="","Not Enrolled",IF(TODAY()&gt;AF40,"Review Overdue",IF(AF40-TODAY()&lt;=30,"Review Due Soon","Active"))))</f>
        <v/>
      </c>
      <c r="AK40" s="63">
        <f>IF($A40="","",IF(AG40="","NOT REVIEWED",IF(TODAY()-AG40&gt;90,"OVERDUE",IF(TODAY()-AG40&gt;76,"Due Soon","Current"))))</f>
        <v/>
      </c>
    </row>
    <row r="41" ht="15" customHeight="1" s="39">
      <c r="A41" s="60" t="n"/>
      <c r="B41" s="60" t="n"/>
      <c r="C41" s="61" t="n"/>
      <c r="D41" s="61" t="n"/>
      <c r="E41" s="60" t="n"/>
      <c r="F41" s="60" t="n"/>
      <c r="G41" s="62" t="n"/>
      <c r="H41" s="62" t="n"/>
      <c r="I41" s="62" t="n"/>
      <c r="J41" s="60" t="n"/>
      <c r="K41" s="60" t="n"/>
      <c r="L41" s="60" t="n"/>
      <c r="M41" s="61" t="n"/>
      <c r="N41" s="60" t="n"/>
      <c r="O41" s="60" t="n"/>
      <c r="P41" s="60" t="n"/>
      <c r="Q41" s="60" t="n"/>
      <c r="R41" s="60" t="n"/>
      <c r="S41" s="60" t="n"/>
      <c r="T41" s="60" t="n"/>
      <c r="U41" s="60" t="n"/>
      <c r="V41" s="60" t="n"/>
      <c r="W41" s="60" t="n"/>
      <c r="X41" s="60" t="n"/>
      <c r="Y41" s="63">
        <f>IF($H41="","",TODAY()-$H41)</f>
        <v/>
      </c>
      <c r="Z41" s="63">
        <f>IF($A41="","",IF(AND($F41="Yes",OR($U41="No",$U41="NOT FOUND")),"YES",""))</f>
        <v/>
      </c>
      <c r="AA41" s="66">
        <f>IF($A41="","",TRIM(IF(AND($P41=0,$L41&lt;&gt;"Yes"),"T0-NoSmartcard ","")&amp;IF(AND($J41&lt;&gt;"",$J41&gt;365),"StalePwd ","")&amp;IF($K41="Yes","PwdNeverExpires ","")&amp;IF(AND($S41&lt;&gt;"",$S41&lt;&gt;"None"),"Delegation ","")&amp;IF(AND($Q41=1,$O41="None"),"StaleAdminCount ","")&amp;IF(AND($F41="Yes",$H41=""),"NeverLoggedOn ","")))</f>
        <v/>
      </c>
      <c r="AB41" s="60" t="n"/>
      <c r="AC41" s="61" t="n"/>
      <c r="AD41" s="60" t="n"/>
      <c r="AE41" s="62" t="n"/>
      <c r="AF41" s="62" t="n"/>
      <c r="AG41" s="62" t="n"/>
      <c r="AH41" s="60" t="n"/>
      <c r="AI41" s="61" t="n"/>
      <c r="AJ41" s="63">
        <f>IF($A41="","",IF(AF41="","Not Enrolled",IF(TODAY()&gt;AF41,"Review Overdue",IF(AF41-TODAY()&lt;=30,"Review Due Soon","Active"))))</f>
        <v/>
      </c>
      <c r="AK41" s="63">
        <f>IF($A41="","",IF(AG41="","NOT REVIEWED",IF(TODAY()-AG41&gt;90,"OVERDUE",IF(TODAY()-AG41&gt;76,"Due Soon","Current"))))</f>
        <v/>
      </c>
    </row>
    <row r="42" ht="15" customHeight="1" s="39">
      <c r="A42" s="60" t="n"/>
      <c r="B42" s="60" t="n"/>
      <c r="C42" s="61" t="n"/>
      <c r="D42" s="61" t="n"/>
      <c r="E42" s="60" t="n"/>
      <c r="F42" s="60" t="n"/>
      <c r="G42" s="62" t="n"/>
      <c r="H42" s="62" t="n"/>
      <c r="I42" s="62" t="n"/>
      <c r="J42" s="60" t="n"/>
      <c r="K42" s="60" t="n"/>
      <c r="L42" s="60" t="n"/>
      <c r="M42" s="61" t="n"/>
      <c r="N42" s="60" t="n"/>
      <c r="O42" s="60" t="n"/>
      <c r="P42" s="60" t="n"/>
      <c r="Q42" s="60" t="n"/>
      <c r="R42" s="60" t="n"/>
      <c r="S42" s="60" t="n"/>
      <c r="T42" s="60" t="n"/>
      <c r="U42" s="60" t="n"/>
      <c r="V42" s="60" t="n"/>
      <c r="W42" s="60" t="n"/>
      <c r="X42" s="60" t="n"/>
      <c r="Y42" s="63">
        <f>IF($H42="","",TODAY()-$H42)</f>
        <v/>
      </c>
      <c r="Z42" s="63">
        <f>IF($A42="","",IF(AND($F42="Yes",OR($U42="No",$U42="NOT FOUND")),"YES",""))</f>
        <v/>
      </c>
      <c r="AA42" s="66">
        <f>IF($A42="","",TRIM(IF(AND($P42=0,$L42&lt;&gt;"Yes"),"T0-NoSmartcard ","")&amp;IF(AND($J42&lt;&gt;"",$J42&gt;365),"StalePwd ","")&amp;IF($K42="Yes","PwdNeverExpires ","")&amp;IF(AND($S42&lt;&gt;"",$S42&lt;&gt;"None"),"Delegation ","")&amp;IF(AND($Q42=1,$O42="None"),"StaleAdminCount ","")&amp;IF(AND($F42="Yes",$H42=""),"NeverLoggedOn ","")))</f>
        <v/>
      </c>
      <c r="AB42" s="60" t="n"/>
      <c r="AC42" s="61" t="n"/>
      <c r="AD42" s="60" t="n"/>
      <c r="AE42" s="62" t="n"/>
      <c r="AF42" s="62" t="n"/>
      <c r="AG42" s="62" t="n"/>
      <c r="AH42" s="60" t="n"/>
      <c r="AI42" s="61" t="n"/>
      <c r="AJ42" s="63">
        <f>IF($A42="","",IF(AF42="","Not Enrolled",IF(TODAY()&gt;AF42,"Review Overdue",IF(AF42-TODAY()&lt;=30,"Review Due Soon","Active"))))</f>
        <v/>
      </c>
      <c r="AK42" s="63">
        <f>IF($A42="","",IF(AG42="","NOT REVIEWED",IF(TODAY()-AG42&gt;90,"OVERDUE",IF(TODAY()-AG42&gt;76,"Due Soon","Current"))))</f>
        <v/>
      </c>
    </row>
    <row r="43" ht="15" customHeight="1" s="39">
      <c r="A43" s="60" t="n"/>
      <c r="B43" s="60" t="n"/>
      <c r="C43" s="61" t="n"/>
      <c r="D43" s="61" t="n"/>
      <c r="E43" s="60" t="n"/>
      <c r="F43" s="60" t="n"/>
      <c r="G43" s="62" t="n"/>
      <c r="H43" s="62" t="n"/>
      <c r="I43" s="62" t="n"/>
      <c r="J43" s="60" t="n"/>
      <c r="K43" s="60" t="n"/>
      <c r="L43" s="60" t="n"/>
      <c r="M43" s="61" t="n"/>
      <c r="N43" s="60" t="n"/>
      <c r="O43" s="60" t="n"/>
      <c r="P43" s="60" t="n"/>
      <c r="Q43" s="60" t="n"/>
      <c r="R43" s="60" t="n"/>
      <c r="S43" s="60" t="n"/>
      <c r="T43" s="60" t="n"/>
      <c r="U43" s="60" t="n"/>
      <c r="V43" s="60" t="n"/>
      <c r="W43" s="60" t="n"/>
      <c r="X43" s="60" t="n"/>
      <c r="Y43" s="63">
        <f>IF($H43="","",TODAY()-$H43)</f>
        <v/>
      </c>
      <c r="Z43" s="63">
        <f>IF($A43="","",IF(AND($F43="Yes",OR($U43="No",$U43="NOT FOUND")),"YES",""))</f>
        <v/>
      </c>
      <c r="AA43" s="66">
        <f>IF($A43="","",TRIM(IF(AND($P43=0,$L43&lt;&gt;"Yes"),"T0-NoSmartcard ","")&amp;IF(AND($J43&lt;&gt;"",$J43&gt;365),"StalePwd ","")&amp;IF($K43="Yes","PwdNeverExpires ","")&amp;IF(AND($S43&lt;&gt;"",$S43&lt;&gt;"None"),"Delegation ","")&amp;IF(AND($Q43=1,$O43="None"),"StaleAdminCount ","")&amp;IF(AND($F43="Yes",$H43=""),"NeverLoggedOn ","")))</f>
        <v/>
      </c>
      <c r="AB43" s="60" t="n"/>
      <c r="AC43" s="61" t="n"/>
      <c r="AD43" s="60" t="n"/>
      <c r="AE43" s="62" t="n"/>
      <c r="AF43" s="62" t="n"/>
      <c r="AG43" s="62" t="n"/>
      <c r="AH43" s="60" t="n"/>
      <c r="AI43" s="61" t="n"/>
      <c r="AJ43" s="63">
        <f>IF($A43="","",IF(AF43="","Not Enrolled",IF(TODAY()&gt;AF43,"Review Overdue",IF(AF43-TODAY()&lt;=30,"Review Due Soon","Active"))))</f>
        <v/>
      </c>
      <c r="AK43" s="63">
        <f>IF($A43="","",IF(AG43="","NOT REVIEWED",IF(TODAY()-AG43&gt;90,"OVERDUE",IF(TODAY()-AG43&gt;76,"Due Soon","Current"))))</f>
        <v/>
      </c>
    </row>
    <row r="44" ht="15" customHeight="1" s="39">
      <c r="A44" s="60" t="n"/>
      <c r="B44" s="60" t="n"/>
      <c r="C44" s="61" t="n"/>
      <c r="D44" s="61" t="n"/>
      <c r="E44" s="60" t="n"/>
      <c r="F44" s="60" t="n"/>
      <c r="G44" s="62" t="n"/>
      <c r="H44" s="62" t="n"/>
      <c r="I44" s="62" t="n"/>
      <c r="J44" s="60" t="n"/>
      <c r="K44" s="60" t="n"/>
      <c r="L44" s="60" t="n"/>
      <c r="M44" s="61" t="n"/>
      <c r="N44" s="60" t="n"/>
      <c r="O44" s="60" t="n"/>
      <c r="P44" s="60" t="n"/>
      <c r="Q44" s="60" t="n"/>
      <c r="R44" s="60" t="n"/>
      <c r="S44" s="60" t="n"/>
      <c r="T44" s="60" t="n"/>
      <c r="U44" s="60" t="n"/>
      <c r="V44" s="60" t="n"/>
      <c r="W44" s="60" t="n"/>
      <c r="X44" s="60" t="n"/>
      <c r="Y44" s="63">
        <f>IF($H44="","",TODAY()-$H44)</f>
        <v/>
      </c>
      <c r="Z44" s="63">
        <f>IF($A44="","",IF(AND($F44="Yes",OR($U44="No",$U44="NOT FOUND")),"YES",""))</f>
        <v/>
      </c>
      <c r="AA44" s="66">
        <f>IF($A44="","",TRIM(IF(AND($P44=0,$L44&lt;&gt;"Yes"),"T0-NoSmartcard ","")&amp;IF(AND($J44&lt;&gt;"",$J44&gt;365),"StalePwd ","")&amp;IF($K44="Yes","PwdNeverExpires ","")&amp;IF(AND($S44&lt;&gt;"",$S44&lt;&gt;"None"),"Delegation ","")&amp;IF(AND($Q44=1,$O44="None"),"StaleAdminCount ","")&amp;IF(AND($F44="Yes",$H44=""),"NeverLoggedOn ","")))</f>
        <v/>
      </c>
      <c r="AB44" s="60" t="n"/>
      <c r="AC44" s="61" t="n"/>
      <c r="AD44" s="60" t="n"/>
      <c r="AE44" s="62" t="n"/>
      <c r="AF44" s="62" t="n"/>
      <c r="AG44" s="62" t="n"/>
      <c r="AH44" s="60" t="n"/>
      <c r="AI44" s="61" t="n"/>
      <c r="AJ44" s="63">
        <f>IF($A44="","",IF(AF44="","Not Enrolled",IF(TODAY()&gt;AF44,"Review Overdue",IF(AF44-TODAY()&lt;=30,"Review Due Soon","Active"))))</f>
        <v/>
      </c>
      <c r="AK44" s="63">
        <f>IF($A44="","",IF(AG44="","NOT REVIEWED",IF(TODAY()-AG44&gt;90,"OVERDUE",IF(TODAY()-AG44&gt;76,"Due Soon","Current"))))</f>
        <v/>
      </c>
    </row>
    <row r="45" ht="15" customHeight="1" s="39">
      <c r="A45" s="60" t="n"/>
      <c r="B45" s="60" t="n"/>
      <c r="C45" s="61" t="n"/>
      <c r="D45" s="61" t="n"/>
      <c r="E45" s="60" t="n"/>
      <c r="F45" s="60" t="n"/>
      <c r="G45" s="62" t="n"/>
      <c r="H45" s="62" t="n"/>
      <c r="I45" s="62" t="n"/>
      <c r="J45" s="60" t="n"/>
      <c r="K45" s="60" t="n"/>
      <c r="L45" s="60" t="n"/>
      <c r="M45" s="61" t="n"/>
      <c r="N45" s="60" t="n"/>
      <c r="O45" s="60" t="n"/>
      <c r="P45" s="60" t="n"/>
      <c r="Q45" s="60" t="n"/>
      <c r="R45" s="60" t="n"/>
      <c r="S45" s="60" t="n"/>
      <c r="T45" s="60" t="n"/>
      <c r="U45" s="60" t="n"/>
      <c r="V45" s="60" t="n"/>
      <c r="W45" s="60" t="n"/>
      <c r="X45" s="60" t="n"/>
      <c r="Y45" s="63">
        <f>IF($H45="","",TODAY()-$H45)</f>
        <v/>
      </c>
      <c r="Z45" s="63">
        <f>IF($A45="","",IF(AND($F45="Yes",OR($U45="No",$U45="NOT FOUND")),"YES",""))</f>
        <v/>
      </c>
      <c r="AA45" s="66">
        <f>IF($A45="","",TRIM(IF(AND($P45=0,$L45&lt;&gt;"Yes"),"T0-NoSmartcard ","")&amp;IF(AND($J45&lt;&gt;"",$J45&gt;365),"StalePwd ","")&amp;IF($K45="Yes","PwdNeverExpires ","")&amp;IF(AND($S45&lt;&gt;"",$S45&lt;&gt;"None"),"Delegation ","")&amp;IF(AND($Q45=1,$O45="None"),"StaleAdminCount ","")&amp;IF(AND($F45="Yes",$H45=""),"NeverLoggedOn ","")))</f>
        <v/>
      </c>
      <c r="AB45" s="60" t="n"/>
      <c r="AC45" s="61" t="n"/>
      <c r="AD45" s="60" t="n"/>
      <c r="AE45" s="62" t="n"/>
      <c r="AF45" s="62" t="n"/>
      <c r="AG45" s="62" t="n"/>
      <c r="AH45" s="60" t="n"/>
      <c r="AI45" s="61" t="n"/>
      <c r="AJ45" s="63">
        <f>IF($A45="","",IF(AF45="","Not Enrolled",IF(TODAY()&gt;AF45,"Review Overdue",IF(AF45-TODAY()&lt;=30,"Review Due Soon","Active"))))</f>
        <v/>
      </c>
      <c r="AK45" s="63">
        <f>IF($A45="","",IF(AG45="","NOT REVIEWED",IF(TODAY()-AG45&gt;90,"OVERDUE",IF(TODAY()-AG45&gt;76,"Due Soon","Current"))))</f>
        <v/>
      </c>
    </row>
    <row r="46" ht="15" customHeight="1" s="39">
      <c r="A46" s="60" t="n"/>
      <c r="B46" s="60" t="n"/>
      <c r="C46" s="61" t="n"/>
      <c r="D46" s="61" t="n"/>
      <c r="E46" s="60" t="n"/>
      <c r="F46" s="60" t="n"/>
      <c r="G46" s="62" t="n"/>
      <c r="H46" s="62" t="n"/>
      <c r="I46" s="62" t="n"/>
      <c r="J46" s="60" t="n"/>
      <c r="K46" s="60" t="n"/>
      <c r="L46" s="60" t="n"/>
      <c r="M46" s="61" t="n"/>
      <c r="N46" s="60" t="n"/>
      <c r="O46" s="60" t="n"/>
      <c r="P46" s="60" t="n"/>
      <c r="Q46" s="60" t="n"/>
      <c r="R46" s="60" t="n"/>
      <c r="S46" s="60" t="n"/>
      <c r="T46" s="60" t="n"/>
      <c r="U46" s="60" t="n"/>
      <c r="V46" s="60" t="n"/>
      <c r="W46" s="60" t="n"/>
      <c r="X46" s="60" t="n"/>
      <c r="Y46" s="63">
        <f>IF($H46="","",TODAY()-$H46)</f>
        <v/>
      </c>
      <c r="Z46" s="63">
        <f>IF($A46="","",IF(AND($F46="Yes",OR($U46="No",$U46="NOT FOUND")),"YES",""))</f>
        <v/>
      </c>
      <c r="AA46" s="66">
        <f>IF($A46="","",TRIM(IF(AND($P46=0,$L46&lt;&gt;"Yes"),"T0-NoSmartcard ","")&amp;IF(AND($J46&lt;&gt;"",$J46&gt;365),"StalePwd ","")&amp;IF($K46="Yes","PwdNeverExpires ","")&amp;IF(AND($S46&lt;&gt;"",$S46&lt;&gt;"None"),"Delegation ","")&amp;IF(AND($Q46=1,$O46="None"),"StaleAdminCount ","")&amp;IF(AND($F46="Yes",$H46=""),"NeverLoggedOn ","")))</f>
        <v/>
      </c>
      <c r="AB46" s="60" t="n"/>
      <c r="AC46" s="61" t="n"/>
      <c r="AD46" s="60" t="n"/>
      <c r="AE46" s="62" t="n"/>
      <c r="AF46" s="62" t="n"/>
      <c r="AG46" s="62" t="n"/>
      <c r="AH46" s="60" t="n"/>
      <c r="AI46" s="61" t="n"/>
      <c r="AJ46" s="63">
        <f>IF($A46="","",IF(AF46="","Not Enrolled",IF(TODAY()&gt;AF46,"Review Overdue",IF(AF46-TODAY()&lt;=30,"Review Due Soon","Active"))))</f>
        <v/>
      </c>
      <c r="AK46" s="63">
        <f>IF($A46="","",IF(AG46="","NOT REVIEWED",IF(TODAY()-AG46&gt;90,"OVERDUE",IF(TODAY()-AG46&gt;76,"Due Soon","Current"))))</f>
        <v/>
      </c>
    </row>
    <row r="47" ht="15" customHeight="1" s="39">
      <c r="A47" s="60" t="n"/>
      <c r="B47" s="60" t="n"/>
      <c r="C47" s="61" t="n"/>
      <c r="D47" s="61" t="n"/>
      <c r="E47" s="60" t="n"/>
      <c r="F47" s="60" t="n"/>
      <c r="G47" s="62" t="n"/>
      <c r="H47" s="62" t="n"/>
      <c r="I47" s="62" t="n"/>
      <c r="J47" s="60" t="n"/>
      <c r="K47" s="60" t="n"/>
      <c r="L47" s="60" t="n"/>
      <c r="M47" s="61" t="n"/>
      <c r="N47" s="60" t="n"/>
      <c r="O47" s="60" t="n"/>
      <c r="P47" s="60" t="n"/>
      <c r="Q47" s="60" t="n"/>
      <c r="R47" s="60" t="n"/>
      <c r="S47" s="60" t="n"/>
      <c r="T47" s="60" t="n"/>
      <c r="U47" s="60" t="n"/>
      <c r="V47" s="60" t="n"/>
      <c r="W47" s="60" t="n"/>
      <c r="X47" s="60" t="n"/>
      <c r="Y47" s="63">
        <f>IF($H47="","",TODAY()-$H47)</f>
        <v/>
      </c>
      <c r="Z47" s="63">
        <f>IF($A47="","",IF(AND($F47="Yes",OR($U47="No",$U47="NOT FOUND")),"YES",""))</f>
        <v/>
      </c>
      <c r="AA47" s="66">
        <f>IF($A47="","",TRIM(IF(AND($P47=0,$L47&lt;&gt;"Yes"),"T0-NoSmartcard ","")&amp;IF(AND($J47&lt;&gt;"",$J47&gt;365),"StalePwd ","")&amp;IF($K47="Yes","PwdNeverExpires ","")&amp;IF(AND($S47&lt;&gt;"",$S47&lt;&gt;"None"),"Delegation ","")&amp;IF(AND($Q47=1,$O47="None"),"StaleAdminCount ","")&amp;IF(AND($F47="Yes",$H47=""),"NeverLoggedOn ","")))</f>
        <v/>
      </c>
      <c r="AB47" s="60" t="n"/>
      <c r="AC47" s="61" t="n"/>
      <c r="AD47" s="60" t="n"/>
      <c r="AE47" s="62" t="n"/>
      <c r="AF47" s="62" t="n"/>
      <c r="AG47" s="62" t="n"/>
      <c r="AH47" s="60" t="n"/>
      <c r="AI47" s="61" t="n"/>
      <c r="AJ47" s="63">
        <f>IF($A47="","",IF(AF47="","Not Enrolled",IF(TODAY()&gt;AF47,"Review Overdue",IF(AF47-TODAY()&lt;=30,"Review Due Soon","Active"))))</f>
        <v/>
      </c>
      <c r="AK47" s="63">
        <f>IF($A47="","",IF(AG47="","NOT REVIEWED",IF(TODAY()-AG47&gt;90,"OVERDUE",IF(TODAY()-AG47&gt;76,"Due Soon","Current"))))</f>
        <v/>
      </c>
    </row>
    <row r="48" ht="15" customHeight="1" s="39">
      <c r="A48" s="60" t="n"/>
      <c r="B48" s="60" t="n"/>
      <c r="C48" s="61" t="n"/>
      <c r="D48" s="61" t="n"/>
      <c r="E48" s="60" t="n"/>
      <c r="F48" s="60" t="n"/>
      <c r="G48" s="62" t="n"/>
      <c r="H48" s="62" t="n"/>
      <c r="I48" s="62" t="n"/>
      <c r="J48" s="60" t="n"/>
      <c r="K48" s="60" t="n"/>
      <c r="L48" s="60" t="n"/>
      <c r="M48" s="61" t="n"/>
      <c r="N48" s="60" t="n"/>
      <c r="O48" s="60" t="n"/>
      <c r="P48" s="60" t="n"/>
      <c r="Q48" s="60" t="n"/>
      <c r="R48" s="60" t="n"/>
      <c r="S48" s="60" t="n"/>
      <c r="T48" s="60" t="n"/>
      <c r="U48" s="60" t="n"/>
      <c r="V48" s="60" t="n"/>
      <c r="W48" s="60" t="n"/>
      <c r="X48" s="60" t="n"/>
      <c r="Y48" s="63">
        <f>IF($H48="","",TODAY()-$H48)</f>
        <v/>
      </c>
      <c r="Z48" s="63">
        <f>IF($A48="","",IF(AND($F48="Yes",OR($U48="No",$U48="NOT FOUND")),"YES",""))</f>
        <v/>
      </c>
      <c r="AA48" s="66">
        <f>IF($A48="","",TRIM(IF(AND($P48=0,$L48&lt;&gt;"Yes"),"T0-NoSmartcard ","")&amp;IF(AND($J48&lt;&gt;"",$J48&gt;365),"StalePwd ","")&amp;IF($K48="Yes","PwdNeverExpires ","")&amp;IF(AND($S48&lt;&gt;"",$S48&lt;&gt;"None"),"Delegation ","")&amp;IF(AND($Q48=1,$O48="None"),"StaleAdminCount ","")&amp;IF(AND($F48="Yes",$H48=""),"NeverLoggedOn ","")))</f>
        <v/>
      </c>
      <c r="AB48" s="60" t="n"/>
      <c r="AC48" s="61" t="n"/>
      <c r="AD48" s="60" t="n"/>
      <c r="AE48" s="62" t="n"/>
      <c r="AF48" s="62" t="n"/>
      <c r="AG48" s="62" t="n"/>
      <c r="AH48" s="60" t="n"/>
      <c r="AI48" s="61" t="n"/>
      <c r="AJ48" s="63">
        <f>IF($A48="","",IF(AF48="","Not Enrolled",IF(TODAY()&gt;AF48,"Review Overdue",IF(AF48-TODAY()&lt;=30,"Review Due Soon","Active"))))</f>
        <v/>
      </c>
      <c r="AK48" s="63">
        <f>IF($A48="","",IF(AG48="","NOT REVIEWED",IF(TODAY()-AG48&gt;90,"OVERDUE",IF(TODAY()-AG48&gt;76,"Due Soon","Current"))))</f>
        <v/>
      </c>
    </row>
    <row r="49" ht="15" customHeight="1" s="39">
      <c r="A49" s="60" t="n"/>
      <c r="B49" s="60" t="n"/>
      <c r="C49" s="61" t="n"/>
      <c r="D49" s="61" t="n"/>
      <c r="E49" s="60" t="n"/>
      <c r="F49" s="60" t="n"/>
      <c r="G49" s="62" t="n"/>
      <c r="H49" s="62" t="n"/>
      <c r="I49" s="62" t="n"/>
      <c r="J49" s="60" t="n"/>
      <c r="K49" s="60" t="n"/>
      <c r="L49" s="60" t="n"/>
      <c r="M49" s="61" t="n"/>
      <c r="N49" s="60" t="n"/>
      <c r="O49" s="60" t="n"/>
      <c r="P49" s="60" t="n"/>
      <c r="Q49" s="60" t="n"/>
      <c r="R49" s="60" t="n"/>
      <c r="S49" s="60" t="n"/>
      <c r="T49" s="60" t="n"/>
      <c r="U49" s="60" t="n"/>
      <c r="V49" s="60" t="n"/>
      <c r="W49" s="60" t="n"/>
      <c r="X49" s="60" t="n"/>
      <c r="Y49" s="63">
        <f>IF($H49="","",TODAY()-$H49)</f>
        <v/>
      </c>
      <c r="Z49" s="63">
        <f>IF($A49="","",IF(AND($F49="Yes",OR($U49="No",$U49="NOT FOUND")),"YES",""))</f>
        <v/>
      </c>
      <c r="AA49" s="66">
        <f>IF($A49="","",TRIM(IF(AND($P49=0,$L49&lt;&gt;"Yes"),"T0-NoSmartcard ","")&amp;IF(AND($J49&lt;&gt;"",$J49&gt;365),"StalePwd ","")&amp;IF($K49="Yes","PwdNeverExpires ","")&amp;IF(AND($S49&lt;&gt;"",$S49&lt;&gt;"None"),"Delegation ","")&amp;IF(AND($Q49=1,$O49="None"),"StaleAdminCount ","")&amp;IF(AND($F49="Yes",$H49=""),"NeverLoggedOn ","")))</f>
        <v/>
      </c>
      <c r="AB49" s="60" t="n"/>
      <c r="AC49" s="61" t="n"/>
      <c r="AD49" s="60" t="n"/>
      <c r="AE49" s="62" t="n"/>
      <c r="AF49" s="62" t="n"/>
      <c r="AG49" s="62" t="n"/>
      <c r="AH49" s="60" t="n"/>
      <c r="AI49" s="61" t="n"/>
      <c r="AJ49" s="63">
        <f>IF($A49="","",IF(AF49="","Not Enrolled",IF(TODAY()&gt;AF49,"Review Overdue",IF(AF49-TODAY()&lt;=30,"Review Due Soon","Active"))))</f>
        <v/>
      </c>
      <c r="AK49" s="63">
        <f>IF($A49="","",IF(AG49="","NOT REVIEWED",IF(TODAY()-AG49&gt;90,"OVERDUE",IF(TODAY()-AG49&gt;76,"Due Soon","Current"))))</f>
        <v/>
      </c>
    </row>
    <row r="50" ht="15" customHeight="1" s="39">
      <c r="A50" s="60" t="n"/>
      <c r="B50" s="60" t="n"/>
      <c r="C50" s="61" t="n"/>
      <c r="D50" s="61" t="n"/>
      <c r="E50" s="60" t="n"/>
      <c r="F50" s="60" t="n"/>
      <c r="G50" s="62" t="n"/>
      <c r="H50" s="62" t="n"/>
      <c r="I50" s="62" t="n"/>
      <c r="J50" s="60" t="n"/>
      <c r="K50" s="60" t="n"/>
      <c r="L50" s="60" t="n"/>
      <c r="M50" s="61" t="n"/>
      <c r="N50" s="60" t="n"/>
      <c r="O50" s="60" t="n"/>
      <c r="P50" s="60" t="n"/>
      <c r="Q50" s="60" t="n"/>
      <c r="R50" s="60" t="n"/>
      <c r="S50" s="60" t="n"/>
      <c r="T50" s="60" t="n"/>
      <c r="U50" s="60" t="n"/>
      <c r="V50" s="60" t="n"/>
      <c r="W50" s="60" t="n"/>
      <c r="X50" s="60" t="n"/>
      <c r="Y50" s="63">
        <f>IF($H50="","",TODAY()-$H50)</f>
        <v/>
      </c>
      <c r="Z50" s="63">
        <f>IF($A50="","",IF(AND($F50="Yes",OR($U50="No",$U50="NOT FOUND")),"YES",""))</f>
        <v/>
      </c>
      <c r="AA50" s="66">
        <f>IF($A50="","",TRIM(IF(AND($P50=0,$L50&lt;&gt;"Yes"),"T0-NoSmartcard ","")&amp;IF(AND($J50&lt;&gt;"",$J50&gt;365),"StalePwd ","")&amp;IF($K50="Yes","PwdNeverExpires ","")&amp;IF(AND($S50&lt;&gt;"",$S50&lt;&gt;"None"),"Delegation ","")&amp;IF(AND($Q50=1,$O50="None"),"StaleAdminCount ","")&amp;IF(AND($F50="Yes",$H50=""),"NeverLoggedOn ","")))</f>
        <v/>
      </c>
      <c r="AB50" s="60" t="n"/>
      <c r="AC50" s="61" t="n"/>
      <c r="AD50" s="60" t="n"/>
      <c r="AE50" s="62" t="n"/>
      <c r="AF50" s="62" t="n"/>
      <c r="AG50" s="62" t="n"/>
      <c r="AH50" s="60" t="n"/>
      <c r="AI50" s="61" t="n"/>
      <c r="AJ50" s="63">
        <f>IF($A50="","",IF(AF50="","Not Enrolled",IF(TODAY()&gt;AF50,"Review Overdue",IF(AF50-TODAY()&lt;=30,"Review Due Soon","Active"))))</f>
        <v/>
      </c>
      <c r="AK50" s="63">
        <f>IF($A50="","",IF(AG50="","NOT REVIEWED",IF(TODAY()-AG50&gt;90,"OVERDUE",IF(TODAY()-AG50&gt;76,"Due Soon","Current"))))</f>
        <v/>
      </c>
    </row>
    <row r="51" ht="15" customHeight="1" s="39">
      <c r="A51" s="60" t="n"/>
      <c r="B51" s="60" t="n"/>
      <c r="C51" s="61" t="n"/>
      <c r="D51" s="61" t="n"/>
      <c r="E51" s="60" t="n"/>
      <c r="F51" s="60" t="n"/>
      <c r="G51" s="62" t="n"/>
      <c r="H51" s="62" t="n"/>
      <c r="I51" s="62" t="n"/>
      <c r="J51" s="60" t="n"/>
      <c r="K51" s="60" t="n"/>
      <c r="L51" s="60" t="n"/>
      <c r="M51" s="61" t="n"/>
      <c r="N51" s="60" t="n"/>
      <c r="O51" s="60" t="n"/>
      <c r="P51" s="60" t="n"/>
      <c r="Q51" s="60" t="n"/>
      <c r="R51" s="60" t="n"/>
      <c r="S51" s="60" t="n"/>
      <c r="T51" s="60" t="n"/>
      <c r="U51" s="60" t="n"/>
      <c r="V51" s="60" t="n"/>
      <c r="W51" s="60" t="n"/>
      <c r="X51" s="60" t="n"/>
      <c r="Y51" s="63">
        <f>IF($H51="","",TODAY()-$H51)</f>
        <v/>
      </c>
      <c r="Z51" s="63">
        <f>IF($A51="","",IF(AND($F51="Yes",OR($U51="No",$U51="NOT FOUND")),"YES",""))</f>
        <v/>
      </c>
      <c r="AA51" s="66">
        <f>IF($A51="","",TRIM(IF(AND($P51=0,$L51&lt;&gt;"Yes"),"T0-NoSmartcard ","")&amp;IF(AND($J51&lt;&gt;"",$J51&gt;365),"StalePwd ","")&amp;IF($K51="Yes","PwdNeverExpires ","")&amp;IF(AND($S51&lt;&gt;"",$S51&lt;&gt;"None"),"Delegation ","")&amp;IF(AND($Q51=1,$O51="None"),"StaleAdminCount ","")&amp;IF(AND($F51="Yes",$H51=""),"NeverLoggedOn ","")))</f>
        <v/>
      </c>
      <c r="AB51" s="60" t="n"/>
      <c r="AC51" s="61" t="n"/>
      <c r="AD51" s="60" t="n"/>
      <c r="AE51" s="62" t="n"/>
      <c r="AF51" s="62" t="n"/>
      <c r="AG51" s="62" t="n"/>
      <c r="AH51" s="60" t="n"/>
      <c r="AI51" s="61" t="n"/>
      <c r="AJ51" s="63">
        <f>IF($A51="","",IF(AF51="","Not Enrolled",IF(TODAY()&gt;AF51,"Review Overdue",IF(AF51-TODAY()&lt;=30,"Review Due Soon","Active"))))</f>
        <v/>
      </c>
      <c r="AK51" s="63">
        <f>IF($A51="","",IF(AG51="","NOT REVIEWED",IF(TODAY()-AG51&gt;90,"OVERDUE",IF(TODAY()-AG51&gt;76,"Due Soon","Current"))))</f>
        <v/>
      </c>
    </row>
    <row r="52" ht="15" customHeight="1" s="39">
      <c r="A52" s="60" t="n"/>
      <c r="B52" s="60" t="n"/>
      <c r="C52" s="61" t="n"/>
      <c r="D52" s="61" t="n"/>
      <c r="E52" s="60" t="n"/>
      <c r="F52" s="60" t="n"/>
      <c r="G52" s="62" t="n"/>
      <c r="H52" s="62" t="n"/>
      <c r="I52" s="62" t="n"/>
      <c r="J52" s="60" t="n"/>
      <c r="K52" s="60" t="n"/>
      <c r="L52" s="60" t="n"/>
      <c r="M52" s="61" t="n"/>
      <c r="N52" s="60" t="n"/>
      <c r="O52" s="60" t="n"/>
      <c r="P52" s="60" t="n"/>
      <c r="Q52" s="60" t="n"/>
      <c r="R52" s="60" t="n"/>
      <c r="S52" s="60" t="n"/>
      <c r="T52" s="60" t="n"/>
      <c r="U52" s="60" t="n"/>
      <c r="V52" s="60" t="n"/>
      <c r="W52" s="60" t="n"/>
      <c r="X52" s="60" t="n"/>
      <c r="Y52" s="63">
        <f>IF($H52="","",TODAY()-$H52)</f>
        <v/>
      </c>
      <c r="Z52" s="63">
        <f>IF($A52="","",IF(AND($F52="Yes",OR($U52="No",$U52="NOT FOUND")),"YES",""))</f>
        <v/>
      </c>
      <c r="AA52" s="66">
        <f>IF($A52="","",TRIM(IF(AND($P52=0,$L52&lt;&gt;"Yes"),"T0-NoSmartcard ","")&amp;IF(AND($J52&lt;&gt;"",$J52&gt;365),"StalePwd ","")&amp;IF($K52="Yes","PwdNeverExpires ","")&amp;IF(AND($S52&lt;&gt;"",$S52&lt;&gt;"None"),"Delegation ","")&amp;IF(AND($Q52=1,$O52="None"),"StaleAdminCount ","")&amp;IF(AND($F52="Yes",$H52=""),"NeverLoggedOn ","")))</f>
        <v/>
      </c>
      <c r="AB52" s="60" t="n"/>
      <c r="AC52" s="61" t="n"/>
      <c r="AD52" s="60" t="n"/>
      <c r="AE52" s="62" t="n"/>
      <c r="AF52" s="62" t="n"/>
      <c r="AG52" s="62" t="n"/>
      <c r="AH52" s="60" t="n"/>
      <c r="AI52" s="61" t="n"/>
      <c r="AJ52" s="63">
        <f>IF($A52="","",IF(AF52="","Not Enrolled",IF(TODAY()&gt;AF52,"Review Overdue",IF(AF52-TODAY()&lt;=30,"Review Due Soon","Active"))))</f>
        <v/>
      </c>
      <c r="AK52" s="63">
        <f>IF($A52="","",IF(AG52="","NOT REVIEWED",IF(TODAY()-AG52&gt;90,"OVERDUE",IF(TODAY()-AG52&gt;76,"Due Soon","Current"))))</f>
        <v/>
      </c>
    </row>
    <row r="53" ht="15" customHeight="1" s="39">
      <c r="A53" s="60" t="n"/>
      <c r="B53" s="60" t="n"/>
      <c r="C53" s="61" t="n"/>
      <c r="D53" s="61" t="n"/>
      <c r="E53" s="60" t="n"/>
      <c r="F53" s="60" t="n"/>
      <c r="G53" s="62" t="n"/>
      <c r="H53" s="62" t="n"/>
      <c r="I53" s="62" t="n"/>
      <c r="J53" s="60" t="n"/>
      <c r="K53" s="60" t="n"/>
      <c r="L53" s="60" t="n"/>
      <c r="M53" s="61" t="n"/>
      <c r="N53" s="60" t="n"/>
      <c r="O53" s="60" t="n"/>
      <c r="P53" s="60" t="n"/>
      <c r="Q53" s="60" t="n"/>
      <c r="R53" s="60" t="n"/>
      <c r="S53" s="60" t="n"/>
      <c r="T53" s="60" t="n"/>
      <c r="U53" s="60" t="n"/>
      <c r="V53" s="60" t="n"/>
      <c r="W53" s="60" t="n"/>
      <c r="X53" s="60" t="n"/>
      <c r="Y53" s="63">
        <f>IF($H53="","",TODAY()-$H53)</f>
        <v/>
      </c>
      <c r="Z53" s="63">
        <f>IF($A53="","",IF(AND($F53="Yes",OR($U53="No",$U53="NOT FOUND")),"YES",""))</f>
        <v/>
      </c>
      <c r="AA53" s="66">
        <f>IF($A53="","",TRIM(IF(AND($P53=0,$L53&lt;&gt;"Yes"),"T0-NoSmartcard ","")&amp;IF(AND($J53&lt;&gt;"",$J53&gt;365),"StalePwd ","")&amp;IF($K53="Yes","PwdNeverExpires ","")&amp;IF(AND($S53&lt;&gt;"",$S53&lt;&gt;"None"),"Delegation ","")&amp;IF(AND($Q53=1,$O53="None"),"StaleAdminCount ","")&amp;IF(AND($F53="Yes",$H53=""),"NeverLoggedOn ","")))</f>
        <v/>
      </c>
      <c r="AB53" s="60" t="n"/>
      <c r="AC53" s="61" t="n"/>
      <c r="AD53" s="60" t="n"/>
      <c r="AE53" s="62" t="n"/>
      <c r="AF53" s="62" t="n"/>
      <c r="AG53" s="62" t="n"/>
      <c r="AH53" s="60" t="n"/>
      <c r="AI53" s="61" t="n"/>
      <c r="AJ53" s="63">
        <f>IF($A53="","",IF(AF53="","Not Enrolled",IF(TODAY()&gt;AF53,"Review Overdue",IF(AF53-TODAY()&lt;=30,"Review Due Soon","Active"))))</f>
        <v/>
      </c>
      <c r="AK53" s="63">
        <f>IF($A53="","",IF(AG53="","NOT REVIEWED",IF(TODAY()-AG53&gt;90,"OVERDUE",IF(TODAY()-AG53&gt;76,"Due Soon","Current"))))</f>
        <v/>
      </c>
    </row>
    <row r="54" ht="15" customHeight="1" s="39">
      <c r="A54" s="60" t="n"/>
      <c r="B54" s="60" t="n"/>
      <c r="C54" s="61" t="n"/>
      <c r="D54" s="61" t="n"/>
      <c r="E54" s="60" t="n"/>
      <c r="F54" s="60" t="n"/>
      <c r="G54" s="62" t="n"/>
      <c r="H54" s="62" t="n"/>
      <c r="I54" s="62" t="n"/>
      <c r="J54" s="60" t="n"/>
      <c r="K54" s="60" t="n"/>
      <c r="L54" s="60" t="n"/>
      <c r="M54" s="61" t="n"/>
      <c r="N54" s="60" t="n"/>
      <c r="O54" s="60" t="n"/>
      <c r="P54" s="60" t="n"/>
      <c r="Q54" s="60" t="n"/>
      <c r="R54" s="60" t="n"/>
      <c r="S54" s="60" t="n"/>
      <c r="T54" s="60" t="n"/>
      <c r="U54" s="60" t="n"/>
      <c r="V54" s="60" t="n"/>
      <c r="W54" s="60" t="n"/>
      <c r="X54" s="60" t="n"/>
      <c r="Y54" s="63">
        <f>IF($H54="","",TODAY()-$H54)</f>
        <v/>
      </c>
      <c r="Z54" s="63">
        <f>IF($A54="","",IF(AND($F54="Yes",OR($U54="No",$U54="NOT FOUND")),"YES",""))</f>
        <v/>
      </c>
      <c r="AA54" s="66">
        <f>IF($A54="","",TRIM(IF(AND($P54=0,$L54&lt;&gt;"Yes"),"T0-NoSmartcard ","")&amp;IF(AND($J54&lt;&gt;"",$J54&gt;365),"StalePwd ","")&amp;IF($K54="Yes","PwdNeverExpires ","")&amp;IF(AND($S54&lt;&gt;"",$S54&lt;&gt;"None"),"Delegation ","")&amp;IF(AND($Q54=1,$O54="None"),"StaleAdminCount ","")&amp;IF(AND($F54="Yes",$H54=""),"NeverLoggedOn ","")))</f>
        <v/>
      </c>
      <c r="AB54" s="60" t="n"/>
      <c r="AC54" s="61" t="n"/>
      <c r="AD54" s="60" t="n"/>
      <c r="AE54" s="62" t="n"/>
      <c r="AF54" s="62" t="n"/>
      <c r="AG54" s="62" t="n"/>
      <c r="AH54" s="60" t="n"/>
      <c r="AI54" s="61" t="n"/>
      <c r="AJ54" s="63">
        <f>IF($A54="","",IF(AF54="","Not Enrolled",IF(TODAY()&gt;AF54,"Review Overdue",IF(AF54-TODAY()&lt;=30,"Review Due Soon","Active"))))</f>
        <v/>
      </c>
      <c r="AK54" s="63">
        <f>IF($A54="","",IF(AG54="","NOT REVIEWED",IF(TODAY()-AG54&gt;90,"OVERDUE",IF(TODAY()-AG54&gt;76,"Due Soon","Current"))))</f>
        <v/>
      </c>
    </row>
    <row r="55" ht="15" customHeight="1" s="39">
      <c r="A55" s="60" t="n"/>
      <c r="B55" s="60" t="n"/>
      <c r="C55" s="61" t="n"/>
      <c r="D55" s="61" t="n"/>
      <c r="E55" s="60" t="n"/>
      <c r="F55" s="60" t="n"/>
      <c r="G55" s="62" t="n"/>
      <c r="H55" s="62" t="n"/>
      <c r="I55" s="62" t="n"/>
      <c r="J55" s="60" t="n"/>
      <c r="K55" s="60" t="n"/>
      <c r="L55" s="60" t="n"/>
      <c r="M55" s="61" t="n"/>
      <c r="N55" s="60" t="n"/>
      <c r="O55" s="60" t="n"/>
      <c r="P55" s="60" t="n"/>
      <c r="Q55" s="60" t="n"/>
      <c r="R55" s="60" t="n"/>
      <c r="S55" s="60" t="n"/>
      <c r="T55" s="60" t="n"/>
      <c r="U55" s="60" t="n"/>
      <c r="V55" s="60" t="n"/>
      <c r="W55" s="60" t="n"/>
      <c r="X55" s="60" t="n"/>
      <c r="Y55" s="63">
        <f>IF($H55="","",TODAY()-$H55)</f>
        <v/>
      </c>
      <c r="Z55" s="63">
        <f>IF($A55="","",IF(AND($F55="Yes",OR($U55="No",$U55="NOT FOUND")),"YES",""))</f>
        <v/>
      </c>
      <c r="AA55" s="66">
        <f>IF($A55="","",TRIM(IF(AND($P55=0,$L55&lt;&gt;"Yes"),"T0-NoSmartcard ","")&amp;IF(AND($J55&lt;&gt;"",$J55&gt;365),"StalePwd ","")&amp;IF($K55="Yes","PwdNeverExpires ","")&amp;IF(AND($S55&lt;&gt;"",$S55&lt;&gt;"None"),"Delegation ","")&amp;IF(AND($Q55=1,$O55="None"),"StaleAdminCount ","")&amp;IF(AND($F55="Yes",$H55=""),"NeverLoggedOn ","")))</f>
        <v/>
      </c>
      <c r="AB55" s="60" t="n"/>
      <c r="AC55" s="61" t="n"/>
      <c r="AD55" s="60" t="n"/>
      <c r="AE55" s="62" t="n"/>
      <c r="AF55" s="62" t="n"/>
      <c r="AG55" s="62" t="n"/>
      <c r="AH55" s="60" t="n"/>
      <c r="AI55" s="61" t="n"/>
      <c r="AJ55" s="63">
        <f>IF($A55="","",IF(AF55="","Not Enrolled",IF(TODAY()&gt;AF55,"Review Overdue",IF(AF55-TODAY()&lt;=30,"Review Due Soon","Active"))))</f>
        <v/>
      </c>
      <c r="AK55" s="63">
        <f>IF($A55="","",IF(AG55="","NOT REVIEWED",IF(TODAY()-AG55&gt;90,"OVERDUE",IF(TODAY()-AG55&gt;76,"Due Soon","Current"))))</f>
        <v/>
      </c>
    </row>
    <row r="56" ht="15" customHeight="1" s="39">
      <c r="A56" s="60" t="n"/>
      <c r="B56" s="60" t="n"/>
      <c r="C56" s="61" t="n"/>
      <c r="D56" s="61" t="n"/>
      <c r="E56" s="60" t="n"/>
      <c r="F56" s="60" t="n"/>
      <c r="G56" s="62" t="n"/>
      <c r="H56" s="62" t="n"/>
      <c r="I56" s="62" t="n"/>
      <c r="J56" s="60" t="n"/>
      <c r="K56" s="60" t="n"/>
      <c r="L56" s="60" t="n"/>
      <c r="M56" s="61" t="n"/>
      <c r="N56" s="60" t="n"/>
      <c r="O56" s="60" t="n"/>
      <c r="P56" s="60" t="n"/>
      <c r="Q56" s="60" t="n"/>
      <c r="R56" s="60" t="n"/>
      <c r="S56" s="60" t="n"/>
      <c r="T56" s="60" t="n"/>
      <c r="U56" s="60" t="n"/>
      <c r="V56" s="60" t="n"/>
      <c r="W56" s="60" t="n"/>
      <c r="X56" s="60" t="n"/>
      <c r="Y56" s="63">
        <f>IF($H56="","",TODAY()-$H56)</f>
        <v/>
      </c>
      <c r="Z56" s="63">
        <f>IF($A56="","",IF(AND($F56="Yes",OR($U56="No",$U56="NOT FOUND")),"YES",""))</f>
        <v/>
      </c>
      <c r="AA56" s="66">
        <f>IF($A56="","",TRIM(IF(AND($P56=0,$L56&lt;&gt;"Yes"),"T0-NoSmartcard ","")&amp;IF(AND($J56&lt;&gt;"",$J56&gt;365),"StalePwd ","")&amp;IF($K56="Yes","PwdNeverExpires ","")&amp;IF(AND($S56&lt;&gt;"",$S56&lt;&gt;"None"),"Delegation ","")&amp;IF(AND($Q56=1,$O56="None"),"StaleAdminCount ","")&amp;IF(AND($F56="Yes",$H56=""),"NeverLoggedOn ","")))</f>
        <v/>
      </c>
      <c r="AB56" s="60" t="n"/>
      <c r="AC56" s="61" t="n"/>
      <c r="AD56" s="60" t="n"/>
      <c r="AE56" s="62" t="n"/>
      <c r="AF56" s="62" t="n"/>
      <c r="AG56" s="62" t="n"/>
      <c r="AH56" s="60" t="n"/>
      <c r="AI56" s="61" t="n"/>
      <c r="AJ56" s="63">
        <f>IF($A56="","",IF(AF56="","Not Enrolled",IF(TODAY()&gt;AF56,"Review Overdue",IF(AF56-TODAY()&lt;=30,"Review Due Soon","Active"))))</f>
        <v/>
      </c>
      <c r="AK56" s="63">
        <f>IF($A56="","",IF(AG56="","NOT REVIEWED",IF(TODAY()-AG56&gt;90,"OVERDUE",IF(TODAY()-AG56&gt;76,"Due Soon","Current"))))</f>
        <v/>
      </c>
    </row>
    <row r="57" ht="15" customHeight="1" s="39">
      <c r="A57" s="60" t="n"/>
      <c r="B57" s="60" t="n"/>
      <c r="C57" s="61" t="n"/>
      <c r="D57" s="61" t="n"/>
      <c r="E57" s="60" t="n"/>
      <c r="F57" s="60" t="n"/>
      <c r="G57" s="62" t="n"/>
      <c r="H57" s="62" t="n"/>
      <c r="I57" s="62" t="n"/>
      <c r="J57" s="60" t="n"/>
      <c r="K57" s="60" t="n"/>
      <c r="L57" s="60" t="n"/>
      <c r="M57" s="61" t="n"/>
      <c r="N57" s="60" t="n"/>
      <c r="O57" s="60" t="n"/>
      <c r="P57" s="60" t="n"/>
      <c r="Q57" s="60" t="n"/>
      <c r="R57" s="60" t="n"/>
      <c r="S57" s="60" t="n"/>
      <c r="T57" s="60" t="n"/>
      <c r="U57" s="60" t="n"/>
      <c r="V57" s="60" t="n"/>
      <c r="W57" s="60" t="n"/>
      <c r="X57" s="60" t="n"/>
      <c r="Y57" s="63">
        <f>IF($H57="","",TODAY()-$H57)</f>
        <v/>
      </c>
      <c r="Z57" s="63">
        <f>IF($A57="","",IF(AND($F57="Yes",OR($U57="No",$U57="NOT FOUND")),"YES",""))</f>
        <v/>
      </c>
      <c r="AA57" s="66">
        <f>IF($A57="","",TRIM(IF(AND($P57=0,$L57&lt;&gt;"Yes"),"T0-NoSmartcard ","")&amp;IF(AND($J57&lt;&gt;"",$J57&gt;365),"StalePwd ","")&amp;IF($K57="Yes","PwdNeverExpires ","")&amp;IF(AND($S57&lt;&gt;"",$S57&lt;&gt;"None"),"Delegation ","")&amp;IF(AND($Q57=1,$O57="None"),"StaleAdminCount ","")&amp;IF(AND($F57="Yes",$H57=""),"NeverLoggedOn ","")))</f>
        <v/>
      </c>
      <c r="AB57" s="60" t="n"/>
      <c r="AC57" s="61" t="n"/>
      <c r="AD57" s="60" t="n"/>
      <c r="AE57" s="62" t="n"/>
      <c r="AF57" s="62" t="n"/>
      <c r="AG57" s="62" t="n"/>
      <c r="AH57" s="60" t="n"/>
      <c r="AI57" s="61" t="n"/>
      <c r="AJ57" s="63">
        <f>IF($A57="","",IF(AF57="","Not Enrolled",IF(TODAY()&gt;AF57,"Review Overdue",IF(AF57-TODAY()&lt;=30,"Review Due Soon","Active"))))</f>
        <v/>
      </c>
      <c r="AK57" s="63">
        <f>IF($A57="","",IF(AG57="","NOT REVIEWED",IF(TODAY()-AG57&gt;90,"OVERDUE",IF(TODAY()-AG57&gt;76,"Due Soon","Current"))))</f>
        <v/>
      </c>
    </row>
    <row r="58" ht="15" customHeight="1" s="39">
      <c r="A58" s="60" t="n"/>
      <c r="B58" s="60" t="n"/>
      <c r="C58" s="61" t="n"/>
      <c r="D58" s="61" t="n"/>
      <c r="E58" s="60" t="n"/>
      <c r="F58" s="60" t="n"/>
      <c r="G58" s="62" t="n"/>
      <c r="H58" s="62" t="n"/>
      <c r="I58" s="62" t="n"/>
      <c r="J58" s="60" t="n"/>
      <c r="K58" s="60" t="n"/>
      <c r="L58" s="60" t="n"/>
      <c r="M58" s="61" t="n"/>
      <c r="N58" s="60" t="n"/>
      <c r="O58" s="60" t="n"/>
      <c r="P58" s="60" t="n"/>
      <c r="Q58" s="60" t="n"/>
      <c r="R58" s="60" t="n"/>
      <c r="S58" s="60" t="n"/>
      <c r="T58" s="60" t="n"/>
      <c r="U58" s="60" t="n"/>
      <c r="V58" s="60" t="n"/>
      <c r="W58" s="60" t="n"/>
      <c r="X58" s="60" t="n"/>
      <c r="Y58" s="63">
        <f>IF($H58="","",TODAY()-$H58)</f>
        <v/>
      </c>
      <c r="Z58" s="63">
        <f>IF($A58="","",IF(AND($F58="Yes",OR($U58="No",$U58="NOT FOUND")),"YES",""))</f>
        <v/>
      </c>
      <c r="AA58" s="66">
        <f>IF($A58="","",TRIM(IF(AND($P58=0,$L58&lt;&gt;"Yes"),"T0-NoSmartcard ","")&amp;IF(AND($J58&lt;&gt;"",$J58&gt;365),"StalePwd ","")&amp;IF($K58="Yes","PwdNeverExpires ","")&amp;IF(AND($S58&lt;&gt;"",$S58&lt;&gt;"None"),"Delegation ","")&amp;IF(AND($Q58=1,$O58="None"),"StaleAdminCount ","")&amp;IF(AND($F58="Yes",$H58=""),"NeverLoggedOn ","")))</f>
        <v/>
      </c>
      <c r="AB58" s="60" t="n"/>
      <c r="AC58" s="61" t="n"/>
      <c r="AD58" s="60" t="n"/>
      <c r="AE58" s="62" t="n"/>
      <c r="AF58" s="62" t="n"/>
      <c r="AG58" s="62" t="n"/>
      <c r="AH58" s="60" t="n"/>
      <c r="AI58" s="61" t="n"/>
      <c r="AJ58" s="63">
        <f>IF($A58="","",IF(AF58="","Not Enrolled",IF(TODAY()&gt;AF58,"Review Overdue",IF(AF58-TODAY()&lt;=30,"Review Due Soon","Active"))))</f>
        <v/>
      </c>
      <c r="AK58" s="63">
        <f>IF($A58="","",IF(AG58="","NOT REVIEWED",IF(TODAY()-AG58&gt;90,"OVERDUE",IF(TODAY()-AG58&gt;76,"Due Soon","Current"))))</f>
        <v/>
      </c>
    </row>
    <row r="59" ht="15" customHeight="1" s="39">
      <c r="A59" s="60" t="n"/>
      <c r="B59" s="60" t="n"/>
      <c r="C59" s="61" t="n"/>
      <c r="D59" s="61" t="n"/>
      <c r="E59" s="60" t="n"/>
      <c r="F59" s="60" t="n"/>
      <c r="G59" s="62" t="n"/>
      <c r="H59" s="62" t="n"/>
      <c r="I59" s="62" t="n"/>
      <c r="J59" s="60" t="n"/>
      <c r="K59" s="60" t="n"/>
      <c r="L59" s="60" t="n"/>
      <c r="M59" s="61" t="n"/>
      <c r="N59" s="60" t="n"/>
      <c r="O59" s="60" t="n"/>
      <c r="P59" s="60" t="n"/>
      <c r="Q59" s="60" t="n"/>
      <c r="R59" s="60" t="n"/>
      <c r="S59" s="60" t="n"/>
      <c r="T59" s="60" t="n"/>
      <c r="U59" s="60" t="n"/>
      <c r="V59" s="60" t="n"/>
      <c r="W59" s="60" t="n"/>
      <c r="X59" s="60" t="n"/>
      <c r="Y59" s="63">
        <f>IF($H59="","",TODAY()-$H59)</f>
        <v/>
      </c>
      <c r="Z59" s="63">
        <f>IF($A59="","",IF(AND($F59="Yes",OR($U59="No",$U59="NOT FOUND")),"YES",""))</f>
        <v/>
      </c>
      <c r="AA59" s="66">
        <f>IF($A59="","",TRIM(IF(AND($P59=0,$L59&lt;&gt;"Yes"),"T0-NoSmartcard ","")&amp;IF(AND($J59&lt;&gt;"",$J59&gt;365),"StalePwd ","")&amp;IF($K59="Yes","PwdNeverExpires ","")&amp;IF(AND($S59&lt;&gt;"",$S59&lt;&gt;"None"),"Delegation ","")&amp;IF(AND($Q59=1,$O59="None"),"StaleAdminCount ","")&amp;IF(AND($F59="Yes",$H59=""),"NeverLoggedOn ","")))</f>
        <v/>
      </c>
      <c r="AB59" s="60" t="n"/>
      <c r="AC59" s="61" t="n"/>
      <c r="AD59" s="60" t="n"/>
      <c r="AE59" s="62" t="n"/>
      <c r="AF59" s="62" t="n"/>
      <c r="AG59" s="62" t="n"/>
      <c r="AH59" s="60" t="n"/>
      <c r="AI59" s="61" t="n"/>
      <c r="AJ59" s="63">
        <f>IF($A59="","",IF(AF59="","Not Enrolled",IF(TODAY()&gt;AF59,"Review Overdue",IF(AF59-TODAY()&lt;=30,"Review Due Soon","Active"))))</f>
        <v/>
      </c>
      <c r="AK59" s="63">
        <f>IF($A59="","",IF(AG59="","NOT REVIEWED",IF(TODAY()-AG59&gt;90,"OVERDUE",IF(TODAY()-AG59&gt;76,"Due Soon","Current"))))</f>
        <v/>
      </c>
    </row>
    <row r="60" ht="15" customHeight="1" s="39">
      <c r="A60" s="60" t="n"/>
      <c r="B60" s="60" t="n"/>
      <c r="C60" s="61" t="n"/>
      <c r="D60" s="61" t="n"/>
      <c r="E60" s="60" t="n"/>
      <c r="F60" s="60" t="n"/>
      <c r="G60" s="62" t="n"/>
      <c r="H60" s="62" t="n"/>
      <c r="I60" s="62" t="n"/>
      <c r="J60" s="60" t="n"/>
      <c r="K60" s="60" t="n"/>
      <c r="L60" s="60" t="n"/>
      <c r="M60" s="61" t="n"/>
      <c r="N60" s="60" t="n"/>
      <c r="O60" s="60" t="n"/>
      <c r="P60" s="60" t="n"/>
      <c r="Q60" s="60" t="n"/>
      <c r="R60" s="60" t="n"/>
      <c r="S60" s="60" t="n"/>
      <c r="T60" s="60" t="n"/>
      <c r="U60" s="60" t="n"/>
      <c r="V60" s="60" t="n"/>
      <c r="W60" s="60" t="n"/>
      <c r="X60" s="60" t="n"/>
      <c r="Y60" s="63">
        <f>IF($H60="","",TODAY()-$H60)</f>
        <v/>
      </c>
      <c r="Z60" s="63">
        <f>IF($A60="","",IF(AND($F60="Yes",OR($U60="No",$U60="NOT FOUND")),"YES",""))</f>
        <v/>
      </c>
      <c r="AA60" s="66">
        <f>IF($A60="","",TRIM(IF(AND($P60=0,$L60&lt;&gt;"Yes"),"T0-NoSmartcard ","")&amp;IF(AND($J60&lt;&gt;"",$J60&gt;365),"StalePwd ","")&amp;IF($K60="Yes","PwdNeverExpires ","")&amp;IF(AND($S60&lt;&gt;"",$S60&lt;&gt;"None"),"Delegation ","")&amp;IF(AND($Q60=1,$O60="None"),"StaleAdminCount ","")&amp;IF(AND($F60="Yes",$H60=""),"NeverLoggedOn ","")))</f>
        <v/>
      </c>
      <c r="AB60" s="60" t="n"/>
      <c r="AC60" s="61" t="n"/>
      <c r="AD60" s="60" t="n"/>
      <c r="AE60" s="62" t="n"/>
      <c r="AF60" s="62" t="n"/>
      <c r="AG60" s="62" t="n"/>
      <c r="AH60" s="60" t="n"/>
      <c r="AI60" s="61" t="n"/>
      <c r="AJ60" s="63">
        <f>IF($A60="","",IF(AF60="","Not Enrolled",IF(TODAY()&gt;AF60,"Review Overdue",IF(AF60-TODAY()&lt;=30,"Review Due Soon","Active"))))</f>
        <v/>
      </c>
      <c r="AK60" s="63">
        <f>IF($A60="","",IF(AG60="","NOT REVIEWED",IF(TODAY()-AG60&gt;90,"OVERDUE",IF(TODAY()-AG60&gt;76,"Due Soon","Current"))))</f>
        <v/>
      </c>
    </row>
    <row r="61" ht="15" customHeight="1" s="39">
      <c r="A61" s="60" t="n"/>
      <c r="B61" s="60" t="n"/>
      <c r="C61" s="61" t="n"/>
      <c r="D61" s="61" t="n"/>
      <c r="E61" s="60" t="n"/>
      <c r="F61" s="60" t="n"/>
      <c r="G61" s="62" t="n"/>
      <c r="H61" s="62" t="n"/>
      <c r="I61" s="62" t="n"/>
      <c r="J61" s="60" t="n"/>
      <c r="K61" s="60" t="n"/>
      <c r="L61" s="60" t="n"/>
      <c r="M61" s="61" t="n"/>
      <c r="N61" s="60" t="n"/>
      <c r="O61" s="60" t="n"/>
      <c r="P61" s="60" t="n"/>
      <c r="Q61" s="60" t="n"/>
      <c r="R61" s="60" t="n"/>
      <c r="S61" s="60" t="n"/>
      <c r="T61" s="60" t="n"/>
      <c r="U61" s="60" t="n"/>
      <c r="V61" s="60" t="n"/>
      <c r="W61" s="60" t="n"/>
      <c r="X61" s="60" t="n"/>
      <c r="Y61" s="63">
        <f>IF($H61="","",TODAY()-$H61)</f>
        <v/>
      </c>
      <c r="Z61" s="63">
        <f>IF($A61="","",IF(AND($F61="Yes",OR($U61="No",$U61="NOT FOUND")),"YES",""))</f>
        <v/>
      </c>
      <c r="AA61" s="66">
        <f>IF($A61="","",TRIM(IF(AND($P61=0,$L61&lt;&gt;"Yes"),"T0-NoSmartcard ","")&amp;IF(AND($J61&lt;&gt;"",$J61&gt;365),"StalePwd ","")&amp;IF($K61="Yes","PwdNeverExpires ","")&amp;IF(AND($S61&lt;&gt;"",$S61&lt;&gt;"None"),"Delegation ","")&amp;IF(AND($Q61=1,$O61="None"),"StaleAdminCount ","")&amp;IF(AND($F61="Yes",$H61=""),"NeverLoggedOn ","")))</f>
        <v/>
      </c>
      <c r="AB61" s="60" t="n"/>
      <c r="AC61" s="61" t="n"/>
      <c r="AD61" s="60" t="n"/>
      <c r="AE61" s="62" t="n"/>
      <c r="AF61" s="62" t="n"/>
      <c r="AG61" s="62" t="n"/>
      <c r="AH61" s="60" t="n"/>
      <c r="AI61" s="61" t="n"/>
      <c r="AJ61" s="63">
        <f>IF($A61="","",IF(AF61="","Not Enrolled",IF(TODAY()&gt;AF61,"Review Overdue",IF(AF61-TODAY()&lt;=30,"Review Due Soon","Active"))))</f>
        <v/>
      </c>
      <c r="AK61" s="63">
        <f>IF($A61="","",IF(AG61="","NOT REVIEWED",IF(TODAY()-AG61&gt;90,"OVERDUE",IF(TODAY()-AG61&gt;76,"Due Soon","Current"))))</f>
        <v/>
      </c>
    </row>
    <row r="62" ht="15" customHeight="1" s="39">
      <c r="A62" s="60" t="n"/>
      <c r="B62" s="60" t="n"/>
      <c r="C62" s="61" t="n"/>
      <c r="D62" s="61" t="n"/>
      <c r="E62" s="60" t="n"/>
      <c r="F62" s="60" t="n"/>
      <c r="G62" s="62" t="n"/>
      <c r="H62" s="62" t="n"/>
      <c r="I62" s="62" t="n"/>
      <c r="J62" s="60" t="n"/>
      <c r="K62" s="60" t="n"/>
      <c r="L62" s="60" t="n"/>
      <c r="M62" s="61" t="n"/>
      <c r="N62" s="60" t="n"/>
      <c r="O62" s="60" t="n"/>
      <c r="P62" s="60" t="n"/>
      <c r="Q62" s="60" t="n"/>
      <c r="R62" s="60" t="n"/>
      <c r="S62" s="60" t="n"/>
      <c r="T62" s="60" t="n"/>
      <c r="U62" s="60" t="n"/>
      <c r="V62" s="60" t="n"/>
      <c r="W62" s="60" t="n"/>
      <c r="X62" s="60" t="n"/>
      <c r="Y62" s="63">
        <f>IF($H62="","",TODAY()-$H62)</f>
        <v/>
      </c>
      <c r="Z62" s="63">
        <f>IF($A62="","",IF(AND($F62="Yes",OR($U62="No",$U62="NOT FOUND")),"YES",""))</f>
        <v/>
      </c>
      <c r="AA62" s="66">
        <f>IF($A62="","",TRIM(IF(AND($P62=0,$L62&lt;&gt;"Yes"),"T0-NoSmartcard ","")&amp;IF(AND($J62&lt;&gt;"",$J62&gt;365),"StalePwd ","")&amp;IF($K62="Yes","PwdNeverExpires ","")&amp;IF(AND($S62&lt;&gt;"",$S62&lt;&gt;"None"),"Delegation ","")&amp;IF(AND($Q62=1,$O62="None"),"StaleAdminCount ","")&amp;IF(AND($F62="Yes",$H62=""),"NeverLoggedOn ","")))</f>
        <v/>
      </c>
      <c r="AB62" s="60" t="n"/>
      <c r="AC62" s="61" t="n"/>
      <c r="AD62" s="60" t="n"/>
      <c r="AE62" s="62" t="n"/>
      <c r="AF62" s="62" t="n"/>
      <c r="AG62" s="62" t="n"/>
      <c r="AH62" s="60" t="n"/>
      <c r="AI62" s="61" t="n"/>
      <c r="AJ62" s="63">
        <f>IF($A62="","",IF(AF62="","Not Enrolled",IF(TODAY()&gt;AF62,"Review Overdue",IF(AF62-TODAY()&lt;=30,"Review Due Soon","Active"))))</f>
        <v/>
      </c>
      <c r="AK62" s="63">
        <f>IF($A62="","",IF(AG62="","NOT REVIEWED",IF(TODAY()-AG62&gt;90,"OVERDUE",IF(TODAY()-AG62&gt;76,"Due Soon","Current"))))</f>
        <v/>
      </c>
    </row>
    <row r="63" ht="15" customHeight="1" s="39">
      <c r="A63" s="60" t="n"/>
      <c r="B63" s="60" t="n"/>
      <c r="C63" s="61" t="n"/>
      <c r="D63" s="61" t="n"/>
      <c r="E63" s="60" t="n"/>
      <c r="F63" s="60" t="n"/>
      <c r="G63" s="62" t="n"/>
      <c r="H63" s="62" t="n"/>
      <c r="I63" s="62" t="n"/>
      <c r="J63" s="60" t="n"/>
      <c r="K63" s="60" t="n"/>
      <c r="L63" s="60" t="n"/>
      <c r="M63" s="61" t="n"/>
      <c r="N63" s="60" t="n"/>
      <c r="O63" s="60" t="n"/>
      <c r="P63" s="60" t="n"/>
      <c r="Q63" s="60" t="n"/>
      <c r="R63" s="60" t="n"/>
      <c r="S63" s="60" t="n"/>
      <c r="T63" s="60" t="n"/>
      <c r="U63" s="60" t="n"/>
      <c r="V63" s="60" t="n"/>
      <c r="W63" s="60" t="n"/>
      <c r="X63" s="60" t="n"/>
      <c r="Y63" s="63">
        <f>IF($H63="","",TODAY()-$H63)</f>
        <v/>
      </c>
      <c r="Z63" s="63">
        <f>IF($A63="","",IF(AND($F63="Yes",OR($U63="No",$U63="NOT FOUND")),"YES",""))</f>
        <v/>
      </c>
      <c r="AA63" s="66">
        <f>IF($A63="","",TRIM(IF(AND($P63=0,$L63&lt;&gt;"Yes"),"T0-NoSmartcard ","")&amp;IF(AND($J63&lt;&gt;"",$J63&gt;365),"StalePwd ","")&amp;IF($K63="Yes","PwdNeverExpires ","")&amp;IF(AND($S63&lt;&gt;"",$S63&lt;&gt;"None"),"Delegation ","")&amp;IF(AND($Q63=1,$O63="None"),"StaleAdminCount ","")&amp;IF(AND($F63="Yes",$H63=""),"NeverLoggedOn ","")))</f>
        <v/>
      </c>
      <c r="AB63" s="60" t="n"/>
      <c r="AC63" s="61" t="n"/>
      <c r="AD63" s="60" t="n"/>
      <c r="AE63" s="62" t="n"/>
      <c r="AF63" s="62" t="n"/>
      <c r="AG63" s="62" t="n"/>
      <c r="AH63" s="60" t="n"/>
      <c r="AI63" s="61" t="n"/>
      <c r="AJ63" s="63">
        <f>IF($A63="","",IF(AF63="","Not Enrolled",IF(TODAY()&gt;AF63,"Review Overdue",IF(AF63-TODAY()&lt;=30,"Review Due Soon","Active"))))</f>
        <v/>
      </c>
      <c r="AK63" s="63">
        <f>IF($A63="","",IF(AG63="","NOT REVIEWED",IF(TODAY()-AG63&gt;90,"OVERDUE",IF(TODAY()-AG63&gt;76,"Due Soon","Current"))))</f>
        <v/>
      </c>
    </row>
    <row r="64" ht="15" customHeight="1" s="39">
      <c r="A64" s="60" t="n"/>
      <c r="B64" s="60" t="n"/>
      <c r="C64" s="61" t="n"/>
      <c r="D64" s="61" t="n"/>
      <c r="E64" s="60" t="n"/>
      <c r="F64" s="60" t="n"/>
      <c r="G64" s="62" t="n"/>
      <c r="H64" s="62" t="n"/>
      <c r="I64" s="62" t="n"/>
      <c r="J64" s="60" t="n"/>
      <c r="K64" s="60" t="n"/>
      <c r="L64" s="60" t="n"/>
      <c r="M64" s="61" t="n"/>
      <c r="N64" s="60" t="n"/>
      <c r="O64" s="60" t="n"/>
      <c r="P64" s="60" t="n"/>
      <c r="Q64" s="60" t="n"/>
      <c r="R64" s="60" t="n"/>
      <c r="S64" s="60" t="n"/>
      <c r="T64" s="60" t="n"/>
      <c r="U64" s="60" t="n"/>
      <c r="V64" s="60" t="n"/>
      <c r="W64" s="60" t="n"/>
      <c r="X64" s="60" t="n"/>
      <c r="Y64" s="63">
        <f>IF($H64="","",TODAY()-$H64)</f>
        <v/>
      </c>
      <c r="Z64" s="63">
        <f>IF($A64="","",IF(AND($F64="Yes",OR($U64="No",$U64="NOT FOUND")),"YES",""))</f>
        <v/>
      </c>
      <c r="AA64" s="66">
        <f>IF($A64="","",TRIM(IF(AND($P64=0,$L64&lt;&gt;"Yes"),"T0-NoSmartcard ","")&amp;IF(AND($J64&lt;&gt;"",$J64&gt;365),"StalePwd ","")&amp;IF($K64="Yes","PwdNeverExpires ","")&amp;IF(AND($S64&lt;&gt;"",$S64&lt;&gt;"None"),"Delegation ","")&amp;IF(AND($Q64=1,$O64="None"),"StaleAdminCount ","")&amp;IF(AND($F64="Yes",$H64=""),"NeverLoggedOn ","")))</f>
        <v/>
      </c>
      <c r="AB64" s="60" t="n"/>
      <c r="AC64" s="61" t="n"/>
      <c r="AD64" s="60" t="n"/>
      <c r="AE64" s="62" t="n"/>
      <c r="AF64" s="62" t="n"/>
      <c r="AG64" s="62" t="n"/>
      <c r="AH64" s="60" t="n"/>
      <c r="AI64" s="61" t="n"/>
      <c r="AJ64" s="63">
        <f>IF($A64="","",IF(AF64="","Not Enrolled",IF(TODAY()&gt;AF64,"Review Overdue",IF(AF64-TODAY()&lt;=30,"Review Due Soon","Active"))))</f>
        <v/>
      </c>
      <c r="AK64" s="63">
        <f>IF($A64="","",IF(AG64="","NOT REVIEWED",IF(TODAY()-AG64&gt;90,"OVERDUE",IF(TODAY()-AG64&gt;76,"Due Soon","Current"))))</f>
        <v/>
      </c>
    </row>
    <row r="65" ht="15" customHeight="1" s="39">
      <c r="A65" s="60" t="n"/>
      <c r="B65" s="60" t="n"/>
      <c r="C65" s="61" t="n"/>
      <c r="D65" s="61" t="n"/>
      <c r="E65" s="60" t="n"/>
      <c r="F65" s="60" t="n"/>
      <c r="G65" s="62" t="n"/>
      <c r="H65" s="62" t="n"/>
      <c r="I65" s="62" t="n"/>
      <c r="J65" s="60" t="n"/>
      <c r="K65" s="60" t="n"/>
      <c r="L65" s="60" t="n"/>
      <c r="M65" s="61" t="n"/>
      <c r="N65" s="60" t="n"/>
      <c r="O65" s="60" t="n"/>
      <c r="P65" s="60" t="n"/>
      <c r="Q65" s="60" t="n"/>
      <c r="R65" s="60" t="n"/>
      <c r="S65" s="60" t="n"/>
      <c r="T65" s="60" t="n"/>
      <c r="U65" s="60" t="n"/>
      <c r="V65" s="60" t="n"/>
      <c r="W65" s="60" t="n"/>
      <c r="X65" s="60" t="n"/>
      <c r="Y65" s="63">
        <f>IF($H65="","",TODAY()-$H65)</f>
        <v/>
      </c>
      <c r="Z65" s="63">
        <f>IF($A65="","",IF(AND($F65="Yes",OR($U65="No",$U65="NOT FOUND")),"YES",""))</f>
        <v/>
      </c>
      <c r="AA65" s="66">
        <f>IF($A65="","",TRIM(IF(AND($P65=0,$L65&lt;&gt;"Yes"),"T0-NoSmartcard ","")&amp;IF(AND($J65&lt;&gt;"",$J65&gt;365),"StalePwd ","")&amp;IF($K65="Yes","PwdNeverExpires ","")&amp;IF(AND($S65&lt;&gt;"",$S65&lt;&gt;"None"),"Delegation ","")&amp;IF(AND($Q65=1,$O65="None"),"StaleAdminCount ","")&amp;IF(AND($F65="Yes",$H65=""),"NeverLoggedOn ","")))</f>
        <v/>
      </c>
      <c r="AB65" s="60" t="n"/>
      <c r="AC65" s="61" t="n"/>
      <c r="AD65" s="60" t="n"/>
      <c r="AE65" s="62" t="n"/>
      <c r="AF65" s="62" t="n"/>
      <c r="AG65" s="62" t="n"/>
      <c r="AH65" s="60" t="n"/>
      <c r="AI65" s="61" t="n"/>
      <c r="AJ65" s="63">
        <f>IF($A65="","",IF(AF65="","Not Enrolled",IF(TODAY()&gt;AF65,"Review Overdue",IF(AF65-TODAY()&lt;=30,"Review Due Soon","Active"))))</f>
        <v/>
      </c>
      <c r="AK65" s="63">
        <f>IF($A65="","",IF(AG65="","NOT REVIEWED",IF(TODAY()-AG65&gt;90,"OVERDUE",IF(TODAY()-AG65&gt;76,"Due Soon","Current"))))</f>
        <v/>
      </c>
    </row>
    <row r="66" ht="15" customHeight="1" s="39">
      <c r="A66" s="60" t="n"/>
      <c r="B66" s="60" t="n"/>
      <c r="C66" s="61" t="n"/>
      <c r="D66" s="61" t="n"/>
      <c r="E66" s="60" t="n"/>
      <c r="F66" s="60" t="n"/>
      <c r="G66" s="62" t="n"/>
      <c r="H66" s="62" t="n"/>
      <c r="I66" s="62" t="n"/>
      <c r="J66" s="60" t="n"/>
      <c r="K66" s="60" t="n"/>
      <c r="L66" s="60" t="n"/>
      <c r="M66" s="61" t="n"/>
      <c r="N66" s="60" t="n"/>
      <c r="O66" s="60" t="n"/>
      <c r="P66" s="60" t="n"/>
      <c r="Q66" s="60" t="n"/>
      <c r="R66" s="60" t="n"/>
      <c r="S66" s="60" t="n"/>
      <c r="T66" s="60" t="n"/>
      <c r="U66" s="60" t="n"/>
      <c r="V66" s="60" t="n"/>
      <c r="W66" s="60" t="n"/>
      <c r="X66" s="60" t="n"/>
      <c r="Y66" s="63">
        <f>IF($H66="","",TODAY()-$H66)</f>
        <v/>
      </c>
      <c r="Z66" s="63">
        <f>IF($A66="","",IF(AND($F66="Yes",OR($U66="No",$U66="NOT FOUND")),"YES",""))</f>
        <v/>
      </c>
      <c r="AA66" s="66">
        <f>IF($A66="","",TRIM(IF(AND($P66=0,$L66&lt;&gt;"Yes"),"T0-NoSmartcard ","")&amp;IF(AND($J66&lt;&gt;"",$J66&gt;365),"StalePwd ","")&amp;IF($K66="Yes","PwdNeverExpires ","")&amp;IF(AND($S66&lt;&gt;"",$S66&lt;&gt;"None"),"Delegation ","")&amp;IF(AND($Q66=1,$O66="None"),"StaleAdminCount ","")&amp;IF(AND($F66="Yes",$H66=""),"NeverLoggedOn ","")))</f>
        <v/>
      </c>
      <c r="AB66" s="60" t="n"/>
      <c r="AC66" s="61" t="n"/>
      <c r="AD66" s="60" t="n"/>
      <c r="AE66" s="62" t="n"/>
      <c r="AF66" s="62" t="n"/>
      <c r="AG66" s="62" t="n"/>
      <c r="AH66" s="60" t="n"/>
      <c r="AI66" s="61" t="n"/>
      <c r="AJ66" s="63">
        <f>IF($A66="","",IF(AF66="","Not Enrolled",IF(TODAY()&gt;AF66,"Review Overdue",IF(AF66-TODAY()&lt;=30,"Review Due Soon","Active"))))</f>
        <v/>
      </c>
      <c r="AK66" s="63">
        <f>IF($A66="","",IF(AG66="","NOT REVIEWED",IF(TODAY()-AG66&gt;90,"OVERDUE",IF(TODAY()-AG66&gt;76,"Due Soon","Current"))))</f>
        <v/>
      </c>
    </row>
    <row r="67" ht="15" customHeight="1" s="39">
      <c r="A67" s="60" t="n"/>
      <c r="B67" s="60" t="n"/>
      <c r="C67" s="61" t="n"/>
      <c r="D67" s="61" t="n"/>
      <c r="E67" s="60" t="n"/>
      <c r="F67" s="60" t="n"/>
      <c r="G67" s="62" t="n"/>
      <c r="H67" s="62" t="n"/>
      <c r="I67" s="62" t="n"/>
      <c r="J67" s="60" t="n"/>
      <c r="K67" s="60" t="n"/>
      <c r="L67" s="60" t="n"/>
      <c r="M67" s="61" t="n"/>
      <c r="N67" s="60" t="n"/>
      <c r="O67" s="60" t="n"/>
      <c r="P67" s="60" t="n"/>
      <c r="Q67" s="60" t="n"/>
      <c r="R67" s="60" t="n"/>
      <c r="S67" s="60" t="n"/>
      <c r="T67" s="60" t="n"/>
      <c r="U67" s="60" t="n"/>
      <c r="V67" s="60" t="n"/>
      <c r="W67" s="60" t="n"/>
      <c r="X67" s="60" t="n"/>
      <c r="Y67" s="63">
        <f>IF($H67="","",TODAY()-$H67)</f>
        <v/>
      </c>
      <c r="Z67" s="63">
        <f>IF($A67="","",IF(AND($F67="Yes",OR($U67="No",$U67="NOT FOUND")),"YES",""))</f>
        <v/>
      </c>
      <c r="AA67" s="66">
        <f>IF($A67="","",TRIM(IF(AND($P67=0,$L67&lt;&gt;"Yes"),"T0-NoSmartcard ","")&amp;IF(AND($J67&lt;&gt;"",$J67&gt;365),"StalePwd ","")&amp;IF($K67="Yes","PwdNeverExpires ","")&amp;IF(AND($S67&lt;&gt;"",$S67&lt;&gt;"None"),"Delegation ","")&amp;IF(AND($Q67=1,$O67="None"),"StaleAdminCount ","")&amp;IF(AND($F67="Yes",$H67=""),"NeverLoggedOn ","")))</f>
        <v/>
      </c>
      <c r="AB67" s="60" t="n"/>
      <c r="AC67" s="61" t="n"/>
      <c r="AD67" s="60" t="n"/>
      <c r="AE67" s="62" t="n"/>
      <c r="AF67" s="62" t="n"/>
      <c r="AG67" s="62" t="n"/>
      <c r="AH67" s="60" t="n"/>
      <c r="AI67" s="61" t="n"/>
      <c r="AJ67" s="63">
        <f>IF($A67="","",IF(AF67="","Not Enrolled",IF(TODAY()&gt;AF67,"Review Overdue",IF(AF67-TODAY()&lt;=30,"Review Due Soon","Active"))))</f>
        <v/>
      </c>
      <c r="AK67" s="63">
        <f>IF($A67="","",IF(AG67="","NOT REVIEWED",IF(TODAY()-AG67&gt;90,"OVERDUE",IF(TODAY()-AG67&gt;76,"Due Soon","Current"))))</f>
        <v/>
      </c>
    </row>
    <row r="68" ht="15" customHeight="1" s="39">
      <c r="A68" s="60" t="n"/>
      <c r="B68" s="60" t="n"/>
      <c r="C68" s="61" t="n"/>
      <c r="D68" s="61" t="n"/>
      <c r="E68" s="60" t="n"/>
      <c r="F68" s="60" t="n"/>
      <c r="G68" s="62" t="n"/>
      <c r="H68" s="62" t="n"/>
      <c r="I68" s="62" t="n"/>
      <c r="J68" s="60" t="n"/>
      <c r="K68" s="60" t="n"/>
      <c r="L68" s="60" t="n"/>
      <c r="M68" s="61" t="n"/>
      <c r="N68" s="60" t="n"/>
      <c r="O68" s="60" t="n"/>
      <c r="P68" s="60" t="n"/>
      <c r="Q68" s="60" t="n"/>
      <c r="R68" s="60" t="n"/>
      <c r="S68" s="60" t="n"/>
      <c r="T68" s="60" t="n"/>
      <c r="U68" s="60" t="n"/>
      <c r="V68" s="60" t="n"/>
      <c r="W68" s="60" t="n"/>
      <c r="X68" s="60" t="n"/>
      <c r="Y68" s="63">
        <f>IF($H68="","",TODAY()-$H68)</f>
        <v/>
      </c>
      <c r="Z68" s="63">
        <f>IF($A68="","",IF(AND($F68="Yes",OR($U68="No",$U68="NOT FOUND")),"YES",""))</f>
        <v/>
      </c>
      <c r="AA68" s="66">
        <f>IF($A68="","",TRIM(IF(AND($P68=0,$L68&lt;&gt;"Yes"),"T0-NoSmartcard ","")&amp;IF(AND($J68&lt;&gt;"",$J68&gt;365),"StalePwd ","")&amp;IF($K68="Yes","PwdNeverExpires ","")&amp;IF(AND($S68&lt;&gt;"",$S68&lt;&gt;"None"),"Delegation ","")&amp;IF(AND($Q68=1,$O68="None"),"StaleAdminCount ","")&amp;IF(AND($F68="Yes",$H68=""),"NeverLoggedOn ","")))</f>
        <v/>
      </c>
      <c r="AB68" s="60" t="n"/>
      <c r="AC68" s="61" t="n"/>
      <c r="AD68" s="60" t="n"/>
      <c r="AE68" s="62" t="n"/>
      <c r="AF68" s="62" t="n"/>
      <c r="AG68" s="62" t="n"/>
      <c r="AH68" s="60" t="n"/>
      <c r="AI68" s="61" t="n"/>
      <c r="AJ68" s="63">
        <f>IF($A68="","",IF(AF68="","Not Enrolled",IF(TODAY()&gt;AF68,"Review Overdue",IF(AF68-TODAY()&lt;=30,"Review Due Soon","Active"))))</f>
        <v/>
      </c>
      <c r="AK68" s="63">
        <f>IF($A68="","",IF(AG68="","NOT REVIEWED",IF(TODAY()-AG68&gt;90,"OVERDUE",IF(TODAY()-AG68&gt;76,"Due Soon","Current"))))</f>
        <v/>
      </c>
    </row>
    <row r="69" ht="15" customHeight="1" s="39">
      <c r="A69" s="60" t="n"/>
      <c r="B69" s="60" t="n"/>
      <c r="C69" s="61" t="n"/>
      <c r="D69" s="61" t="n"/>
      <c r="E69" s="60" t="n"/>
      <c r="F69" s="60" t="n"/>
      <c r="G69" s="62" t="n"/>
      <c r="H69" s="62" t="n"/>
      <c r="I69" s="62" t="n"/>
      <c r="J69" s="60" t="n"/>
      <c r="K69" s="60" t="n"/>
      <c r="L69" s="60" t="n"/>
      <c r="M69" s="61" t="n"/>
      <c r="N69" s="60" t="n"/>
      <c r="O69" s="60" t="n"/>
      <c r="P69" s="60" t="n"/>
      <c r="Q69" s="60" t="n"/>
      <c r="R69" s="60" t="n"/>
      <c r="S69" s="60" t="n"/>
      <c r="T69" s="60" t="n"/>
      <c r="U69" s="60" t="n"/>
      <c r="V69" s="60" t="n"/>
      <c r="W69" s="60" t="n"/>
      <c r="X69" s="60" t="n"/>
      <c r="Y69" s="63">
        <f>IF($H69="","",TODAY()-$H69)</f>
        <v/>
      </c>
      <c r="Z69" s="63">
        <f>IF($A69="","",IF(AND($F69="Yes",OR($U69="No",$U69="NOT FOUND")),"YES",""))</f>
        <v/>
      </c>
      <c r="AA69" s="66">
        <f>IF($A69="","",TRIM(IF(AND($P69=0,$L69&lt;&gt;"Yes"),"T0-NoSmartcard ","")&amp;IF(AND($J69&lt;&gt;"",$J69&gt;365),"StalePwd ","")&amp;IF($K69="Yes","PwdNeverExpires ","")&amp;IF(AND($S69&lt;&gt;"",$S69&lt;&gt;"None"),"Delegation ","")&amp;IF(AND($Q69=1,$O69="None"),"StaleAdminCount ","")&amp;IF(AND($F69="Yes",$H69=""),"NeverLoggedOn ","")))</f>
        <v/>
      </c>
      <c r="AB69" s="60" t="n"/>
      <c r="AC69" s="61" t="n"/>
      <c r="AD69" s="60" t="n"/>
      <c r="AE69" s="62" t="n"/>
      <c r="AF69" s="62" t="n"/>
      <c r="AG69" s="62" t="n"/>
      <c r="AH69" s="60" t="n"/>
      <c r="AI69" s="61" t="n"/>
      <c r="AJ69" s="63">
        <f>IF($A69="","",IF(AF69="","Not Enrolled",IF(TODAY()&gt;AF69,"Review Overdue",IF(AF69-TODAY()&lt;=30,"Review Due Soon","Active"))))</f>
        <v/>
      </c>
      <c r="AK69" s="63">
        <f>IF($A69="","",IF(AG69="","NOT REVIEWED",IF(TODAY()-AG69&gt;90,"OVERDUE",IF(TODAY()-AG69&gt;76,"Due Soon","Current"))))</f>
        <v/>
      </c>
    </row>
    <row r="70" ht="15" customHeight="1" s="39">
      <c r="A70" s="60" t="n"/>
      <c r="B70" s="60" t="n"/>
      <c r="C70" s="61" t="n"/>
      <c r="D70" s="61" t="n"/>
      <c r="E70" s="60" t="n"/>
      <c r="F70" s="60" t="n"/>
      <c r="G70" s="62" t="n"/>
      <c r="H70" s="62" t="n"/>
      <c r="I70" s="62" t="n"/>
      <c r="J70" s="60" t="n"/>
      <c r="K70" s="60" t="n"/>
      <c r="L70" s="60" t="n"/>
      <c r="M70" s="61" t="n"/>
      <c r="N70" s="60" t="n"/>
      <c r="O70" s="60" t="n"/>
      <c r="P70" s="60" t="n"/>
      <c r="Q70" s="60" t="n"/>
      <c r="R70" s="60" t="n"/>
      <c r="S70" s="60" t="n"/>
      <c r="T70" s="60" t="n"/>
      <c r="U70" s="60" t="n"/>
      <c r="V70" s="60" t="n"/>
      <c r="W70" s="60" t="n"/>
      <c r="X70" s="60" t="n"/>
      <c r="Y70" s="63">
        <f>IF($H70="","",TODAY()-$H70)</f>
        <v/>
      </c>
      <c r="Z70" s="63">
        <f>IF($A70="","",IF(AND($F70="Yes",OR($U70="No",$U70="NOT FOUND")),"YES",""))</f>
        <v/>
      </c>
      <c r="AA70" s="66">
        <f>IF($A70="","",TRIM(IF(AND($P70=0,$L70&lt;&gt;"Yes"),"T0-NoSmartcard ","")&amp;IF(AND($J70&lt;&gt;"",$J70&gt;365),"StalePwd ","")&amp;IF($K70="Yes","PwdNeverExpires ","")&amp;IF(AND($S70&lt;&gt;"",$S70&lt;&gt;"None"),"Delegation ","")&amp;IF(AND($Q70=1,$O70="None"),"StaleAdminCount ","")&amp;IF(AND($F70="Yes",$H70=""),"NeverLoggedOn ","")))</f>
        <v/>
      </c>
      <c r="AB70" s="60" t="n"/>
      <c r="AC70" s="61" t="n"/>
      <c r="AD70" s="60" t="n"/>
      <c r="AE70" s="62" t="n"/>
      <c r="AF70" s="62" t="n"/>
      <c r="AG70" s="62" t="n"/>
      <c r="AH70" s="60" t="n"/>
      <c r="AI70" s="61" t="n"/>
      <c r="AJ70" s="63">
        <f>IF($A70="","",IF(AF70="","Not Enrolled",IF(TODAY()&gt;AF70,"Review Overdue",IF(AF70-TODAY()&lt;=30,"Review Due Soon","Active"))))</f>
        <v/>
      </c>
      <c r="AK70" s="63">
        <f>IF($A70="","",IF(AG70="","NOT REVIEWED",IF(TODAY()-AG70&gt;90,"OVERDUE",IF(TODAY()-AG70&gt;76,"Due Soon","Current"))))</f>
        <v/>
      </c>
    </row>
    <row r="71" ht="15" customHeight="1" s="39">
      <c r="A71" s="60" t="n"/>
      <c r="B71" s="60" t="n"/>
      <c r="C71" s="61" t="n"/>
      <c r="D71" s="61" t="n"/>
      <c r="E71" s="60" t="n"/>
      <c r="F71" s="60" t="n"/>
      <c r="G71" s="62" t="n"/>
      <c r="H71" s="62" t="n"/>
      <c r="I71" s="62" t="n"/>
      <c r="J71" s="60" t="n"/>
      <c r="K71" s="60" t="n"/>
      <c r="L71" s="60" t="n"/>
      <c r="M71" s="61" t="n"/>
      <c r="N71" s="60" t="n"/>
      <c r="O71" s="60" t="n"/>
      <c r="P71" s="60" t="n"/>
      <c r="Q71" s="60" t="n"/>
      <c r="R71" s="60" t="n"/>
      <c r="S71" s="60" t="n"/>
      <c r="T71" s="60" t="n"/>
      <c r="U71" s="60" t="n"/>
      <c r="V71" s="60" t="n"/>
      <c r="W71" s="60" t="n"/>
      <c r="X71" s="60" t="n"/>
      <c r="Y71" s="63">
        <f>IF($H71="","",TODAY()-$H71)</f>
        <v/>
      </c>
      <c r="Z71" s="63">
        <f>IF($A71="","",IF(AND($F71="Yes",OR($U71="No",$U71="NOT FOUND")),"YES",""))</f>
        <v/>
      </c>
      <c r="AA71" s="66">
        <f>IF($A71="","",TRIM(IF(AND($P71=0,$L71&lt;&gt;"Yes"),"T0-NoSmartcard ","")&amp;IF(AND($J71&lt;&gt;"",$J71&gt;365),"StalePwd ","")&amp;IF($K71="Yes","PwdNeverExpires ","")&amp;IF(AND($S71&lt;&gt;"",$S71&lt;&gt;"None"),"Delegation ","")&amp;IF(AND($Q71=1,$O71="None"),"StaleAdminCount ","")&amp;IF(AND($F71="Yes",$H71=""),"NeverLoggedOn ","")))</f>
        <v/>
      </c>
      <c r="AB71" s="60" t="n"/>
      <c r="AC71" s="61" t="n"/>
      <c r="AD71" s="60" t="n"/>
      <c r="AE71" s="62" t="n"/>
      <c r="AF71" s="62" t="n"/>
      <c r="AG71" s="62" t="n"/>
      <c r="AH71" s="60" t="n"/>
      <c r="AI71" s="61" t="n"/>
      <c r="AJ71" s="63">
        <f>IF($A71="","",IF(AF71="","Not Enrolled",IF(TODAY()&gt;AF71,"Review Overdue",IF(AF71-TODAY()&lt;=30,"Review Due Soon","Active"))))</f>
        <v/>
      </c>
      <c r="AK71" s="63">
        <f>IF($A71="","",IF(AG71="","NOT REVIEWED",IF(TODAY()-AG71&gt;90,"OVERDUE",IF(TODAY()-AG71&gt;76,"Due Soon","Current"))))</f>
        <v/>
      </c>
    </row>
    <row r="72" ht="15" customHeight="1" s="39">
      <c r="A72" s="60" t="n"/>
      <c r="B72" s="60" t="n"/>
      <c r="C72" s="61" t="n"/>
      <c r="D72" s="61" t="n"/>
      <c r="E72" s="60" t="n"/>
      <c r="F72" s="60" t="n"/>
      <c r="G72" s="62" t="n"/>
      <c r="H72" s="62" t="n"/>
      <c r="I72" s="62" t="n"/>
      <c r="J72" s="60" t="n"/>
      <c r="K72" s="60" t="n"/>
      <c r="L72" s="60" t="n"/>
      <c r="M72" s="61" t="n"/>
      <c r="N72" s="60" t="n"/>
      <c r="O72" s="60" t="n"/>
      <c r="P72" s="60" t="n"/>
      <c r="Q72" s="60" t="n"/>
      <c r="R72" s="60" t="n"/>
      <c r="S72" s="60" t="n"/>
      <c r="T72" s="60" t="n"/>
      <c r="U72" s="60" t="n"/>
      <c r="V72" s="60" t="n"/>
      <c r="W72" s="60" t="n"/>
      <c r="X72" s="60" t="n"/>
      <c r="Y72" s="63">
        <f>IF($H72="","",TODAY()-$H72)</f>
        <v/>
      </c>
      <c r="Z72" s="63">
        <f>IF($A72="","",IF(AND($F72="Yes",OR($U72="No",$U72="NOT FOUND")),"YES",""))</f>
        <v/>
      </c>
      <c r="AA72" s="66">
        <f>IF($A72="","",TRIM(IF(AND($P72=0,$L72&lt;&gt;"Yes"),"T0-NoSmartcard ","")&amp;IF(AND($J72&lt;&gt;"",$J72&gt;365),"StalePwd ","")&amp;IF($K72="Yes","PwdNeverExpires ","")&amp;IF(AND($S72&lt;&gt;"",$S72&lt;&gt;"None"),"Delegation ","")&amp;IF(AND($Q72=1,$O72="None"),"StaleAdminCount ","")&amp;IF(AND($F72="Yes",$H72=""),"NeverLoggedOn ","")))</f>
        <v/>
      </c>
      <c r="AB72" s="60" t="n"/>
      <c r="AC72" s="61" t="n"/>
      <c r="AD72" s="60" t="n"/>
      <c r="AE72" s="62" t="n"/>
      <c r="AF72" s="62" t="n"/>
      <c r="AG72" s="62" t="n"/>
      <c r="AH72" s="60" t="n"/>
      <c r="AI72" s="61" t="n"/>
      <c r="AJ72" s="63">
        <f>IF($A72="","",IF(AF72="","Not Enrolled",IF(TODAY()&gt;AF72,"Review Overdue",IF(AF72-TODAY()&lt;=30,"Review Due Soon","Active"))))</f>
        <v/>
      </c>
      <c r="AK72" s="63">
        <f>IF($A72="","",IF(AG72="","NOT REVIEWED",IF(TODAY()-AG72&gt;90,"OVERDUE",IF(TODAY()-AG72&gt;76,"Due Soon","Current"))))</f>
        <v/>
      </c>
    </row>
    <row r="73" ht="15" customHeight="1" s="39">
      <c r="A73" s="60" t="n"/>
      <c r="B73" s="60" t="n"/>
      <c r="C73" s="61" t="n"/>
      <c r="D73" s="61" t="n"/>
      <c r="E73" s="60" t="n"/>
      <c r="F73" s="60" t="n"/>
      <c r="G73" s="62" t="n"/>
      <c r="H73" s="62" t="n"/>
      <c r="I73" s="62" t="n"/>
      <c r="J73" s="60" t="n"/>
      <c r="K73" s="60" t="n"/>
      <c r="L73" s="60" t="n"/>
      <c r="M73" s="61" t="n"/>
      <c r="N73" s="60" t="n"/>
      <c r="O73" s="60" t="n"/>
      <c r="P73" s="60" t="n"/>
      <c r="Q73" s="60" t="n"/>
      <c r="R73" s="60" t="n"/>
      <c r="S73" s="60" t="n"/>
      <c r="T73" s="60" t="n"/>
      <c r="U73" s="60" t="n"/>
      <c r="V73" s="60" t="n"/>
      <c r="W73" s="60" t="n"/>
      <c r="X73" s="60" t="n"/>
      <c r="Y73" s="63">
        <f>IF($H73="","",TODAY()-$H73)</f>
        <v/>
      </c>
      <c r="Z73" s="63">
        <f>IF($A73="","",IF(AND($F73="Yes",OR($U73="No",$U73="NOT FOUND")),"YES",""))</f>
        <v/>
      </c>
      <c r="AA73" s="66">
        <f>IF($A73="","",TRIM(IF(AND($P73=0,$L73&lt;&gt;"Yes"),"T0-NoSmartcard ","")&amp;IF(AND($J73&lt;&gt;"",$J73&gt;365),"StalePwd ","")&amp;IF($K73="Yes","PwdNeverExpires ","")&amp;IF(AND($S73&lt;&gt;"",$S73&lt;&gt;"None"),"Delegation ","")&amp;IF(AND($Q73=1,$O73="None"),"StaleAdminCount ","")&amp;IF(AND($F73="Yes",$H73=""),"NeverLoggedOn ","")))</f>
        <v/>
      </c>
      <c r="AB73" s="60" t="n"/>
      <c r="AC73" s="61" t="n"/>
      <c r="AD73" s="60" t="n"/>
      <c r="AE73" s="62" t="n"/>
      <c r="AF73" s="62" t="n"/>
      <c r="AG73" s="62" t="n"/>
      <c r="AH73" s="60" t="n"/>
      <c r="AI73" s="61" t="n"/>
      <c r="AJ73" s="63">
        <f>IF($A73="","",IF(AF73="","Not Enrolled",IF(TODAY()&gt;AF73,"Review Overdue",IF(AF73-TODAY()&lt;=30,"Review Due Soon","Active"))))</f>
        <v/>
      </c>
      <c r="AK73" s="63">
        <f>IF($A73="","",IF(AG73="","NOT REVIEWED",IF(TODAY()-AG73&gt;90,"OVERDUE",IF(TODAY()-AG73&gt;76,"Due Soon","Current"))))</f>
        <v/>
      </c>
    </row>
    <row r="74" ht="15" customHeight="1" s="39">
      <c r="A74" s="60" t="n"/>
      <c r="B74" s="60" t="n"/>
      <c r="C74" s="61" t="n"/>
      <c r="D74" s="61" t="n"/>
      <c r="E74" s="60" t="n"/>
      <c r="F74" s="60" t="n"/>
      <c r="G74" s="62" t="n"/>
      <c r="H74" s="62" t="n"/>
      <c r="I74" s="62" t="n"/>
      <c r="J74" s="60" t="n"/>
      <c r="K74" s="60" t="n"/>
      <c r="L74" s="60" t="n"/>
      <c r="M74" s="61" t="n"/>
      <c r="N74" s="60" t="n"/>
      <c r="O74" s="60" t="n"/>
      <c r="P74" s="60" t="n"/>
      <c r="Q74" s="60" t="n"/>
      <c r="R74" s="60" t="n"/>
      <c r="S74" s="60" t="n"/>
      <c r="T74" s="60" t="n"/>
      <c r="U74" s="60" t="n"/>
      <c r="V74" s="60" t="n"/>
      <c r="W74" s="60" t="n"/>
      <c r="X74" s="60" t="n"/>
      <c r="Y74" s="63">
        <f>IF($H74="","",TODAY()-$H74)</f>
        <v/>
      </c>
      <c r="Z74" s="63">
        <f>IF($A74="","",IF(AND($F74="Yes",OR($U74="No",$U74="NOT FOUND")),"YES",""))</f>
        <v/>
      </c>
      <c r="AA74" s="66">
        <f>IF($A74="","",TRIM(IF(AND($P74=0,$L74&lt;&gt;"Yes"),"T0-NoSmartcard ","")&amp;IF(AND($J74&lt;&gt;"",$J74&gt;365),"StalePwd ","")&amp;IF($K74="Yes","PwdNeverExpires ","")&amp;IF(AND($S74&lt;&gt;"",$S74&lt;&gt;"None"),"Delegation ","")&amp;IF(AND($Q74=1,$O74="None"),"StaleAdminCount ","")&amp;IF(AND($F74="Yes",$H74=""),"NeverLoggedOn ","")))</f>
        <v/>
      </c>
      <c r="AB74" s="60" t="n"/>
      <c r="AC74" s="61" t="n"/>
      <c r="AD74" s="60" t="n"/>
      <c r="AE74" s="62" t="n"/>
      <c r="AF74" s="62" t="n"/>
      <c r="AG74" s="62" t="n"/>
      <c r="AH74" s="60" t="n"/>
      <c r="AI74" s="61" t="n"/>
      <c r="AJ74" s="63">
        <f>IF($A74="","",IF(AF74="","Not Enrolled",IF(TODAY()&gt;AF74,"Review Overdue",IF(AF74-TODAY()&lt;=30,"Review Due Soon","Active"))))</f>
        <v/>
      </c>
      <c r="AK74" s="63">
        <f>IF($A74="","",IF(AG74="","NOT REVIEWED",IF(TODAY()-AG74&gt;90,"OVERDUE",IF(TODAY()-AG74&gt;76,"Due Soon","Current"))))</f>
        <v/>
      </c>
    </row>
    <row r="75" ht="15" customHeight="1" s="39">
      <c r="A75" s="60" t="n"/>
      <c r="B75" s="60" t="n"/>
      <c r="C75" s="61" t="n"/>
      <c r="D75" s="61" t="n"/>
      <c r="E75" s="60" t="n"/>
      <c r="F75" s="60" t="n"/>
      <c r="G75" s="62" t="n"/>
      <c r="H75" s="62" t="n"/>
      <c r="I75" s="62" t="n"/>
      <c r="J75" s="60" t="n"/>
      <c r="K75" s="60" t="n"/>
      <c r="L75" s="60" t="n"/>
      <c r="M75" s="61" t="n"/>
      <c r="N75" s="60" t="n"/>
      <c r="O75" s="60" t="n"/>
      <c r="P75" s="60" t="n"/>
      <c r="Q75" s="60" t="n"/>
      <c r="R75" s="60" t="n"/>
      <c r="S75" s="60" t="n"/>
      <c r="T75" s="60" t="n"/>
      <c r="U75" s="60" t="n"/>
      <c r="V75" s="60" t="n"/>
      <c r="W75" s="60" t="n"/>
      <c r="X75" s="60" t="n"/>
      <c r="Y75" s="63">
        <f>IF($H75="","",TODAY()-$H75)</f>
        <v/>
      </c>
      <c r="Z75" s="63">
        <f>IF($A75="","",IF(AND($F75="Yes",OR($U75="No",$U75="NOT FOUND")),"YES",""))</f>
        <v/>
      </c>
      <c r="AA75" s="66">
        <f>IF($A75="","",TRIM(IF(AND($P75=0,$L75&lt;&gt;"Yes"),"T0-NoSmartcard ","")&amp;IF(AND($J75&lt;&gt;"",$J75&gt;365),"StalePwd ","")&amp;IF($K75="Yes","PwdNeverExpires ","")&amp;IF(AND($S75&lt;&gt;"",$S75&lt;&gt;"None"),"Delegation ","")&amp;IF(AND($Q75=1,$O75="None"),"StaleAdminCount ","")&amp;IF(AND($F75="Yes",$H75=""),"NeverLoggedOn ","")))</f>
        <v/>
      </c>
      <c r="AB75" s="60" t="n"/>
      <c r="AC75" s="61" t="n"/>
      <c r="AD75" s="60" t="n"/>
      <c r="AE75" s="62" t="n"/>
      <c r="AF75" s="62" t="n"/>
      <c r="AG75" s="62" t="n"/>
      <c r="AH75" s="60" t="n"/>
      <c r="AI75" s="61" t="n"/>
      <c r="AJ75" s="63">
        <f>IF($A75="","",IF(AF75="","Not Enrolled",IF(TODAY()&gt;AF75,"Review Overdue",IF(AF75-TODAY()&lt;=30,"Review Due Soon","Active"))))</f>
        <v/>
      </c>
      <c r="AK75" s="63">
        <f>IF($A75="","",IF(AG75="","NOT REVIEWED",IF(TODAY()-AG75&gt;90,"OVERDUE",IF(TODAY()-AG75&gt;76,"Due Soon","Current"))))</f>
        <v/>
      </c>
    </row>
    <row r="76" ht="15" customHeight="1" s="39">
      <c r="A76" s="60" t="n"/>
      <c r="B76" s="60" t="n"/>
      <c r="C76" s="61" t="n"/>
      <c r="D76" s="61" t="n"/>
      <c r="E76" s="60" t="n"/>
      <c r="F76" s="60" t="n"/>
      <c r="G76" s="62" t="n"/>
      <c r="H76" s="62" t="n"/>
      <c r="I76" s="62" t="n"/>
      <c r="J76" s="60" t="n"/>
      <c r="K76" s="60" t="n"/>
      <c r="L76" s="60" t="n"/>
      <c r="M76" s="61" t="n"/>
      <c r="N76" s="60" t="n"/>
      <c r="O76" s="60" t="n"/>
      <c r="P76" s="60" t="n"/>
      <c r="Q76" s="60" t="n"/>
      <c r="R76" s="60" t="n"/>
      <c r="S76" s="60" t="n"/>
      <c r="T76" s="60" t="n"/>
      <c r="U76" s="60" t="n"/>
      <c r="V76" s="60" t="n"/>
      <c r="W76" s="60" t="n"/>
      <c r="X76" s="60" t="n"/>
      <c r="Y76" s="63">
        <f>IF($H76="","",TODAY()-$H76)</f>
        <v/>
      </c>
      <c r="Z76" s="63">
        <f>IF($A76="","",IF(AND($F76="Yes",OR($U76="No",$U76="NOT FOUND")),"YES",""))</f>
        <v/>
      </c>
      <c r="AA76" s="66">
        <f>IF($A76="","",TRIM(IF(AND($P76=0,$L76&lt;&gt;"Yes"),"T0-NoSmartcard ","")&amp;IF(AND($J76&lt;&gt;"",$J76&gt;365),"StalePwd ","")&amp;IF($K76="Yes","PwdNeverExpires ","")&amp;IF(AND($S76&lt;&gt;"",$S76&lt;&gt;"None"),"Delegation ","")&amp;IF(AND($Q76=1,$O76="None"),"StaleAdminCount ","")&amp;IF(AND($F76="Yes",$H76=""),"NeverLoggedOn ","")))</f>
        <v/>
      </c>
      <c r="AB76" s="60" t="n"/>
      <c r="AC76" s="61" t="n"/>
      <c r="AD76" s="60" t="n"/>
      <c r="AE76" s="62" t="n"/>
      <c r="AF76" s="62" t="n"/>
      <c r="AG76" s="62" t="n"/>
      <c r="AH76" s="60" t="n"/>
      <c r="AI76" s="61" t="n"/>
      <c r="AJ76" s="63">
        <f>IF($A76="","",IF(AF76="","Not Enrolled",IF(TODAY()&gt;AF76,"Review Overdue",IF(AF76-TODAY()&lt;=30,"Review Due Soon","Active"))))</f>
        <v/>
      </c>
      <c r="AK76" s="63">
        <f>IF($A76="","",IF(AG76="","NOT REVIEWED",IF(TODAY()-AG76&gt;90,"OVERDUE",IF(TODAY()-AG76&gt;76,"Due Soon","Current"))))</f>
        <v/>
      </c>
    </row>
    <row r="77" ht="15" customHeight="1" s="39">
      <c r="A77" s="60" t="n"/>
      <c r="B77" s="60" t="n"/>
      <c r="C77" s="61" t="n"/>
      <c r="D77" s="61" t="n"/>
      <c r="E77" s="60" t="n"/>
      <c r="F77" s="60" t="n"/>
      <c r="G77" s="62" t="n"/>
      <c r="H77" s="62" t="n"/>
      <c r="I77" s="62" t="n"/>
      <c r="J77" s="60" t="n"/>
      <c r="K77" s="60" t="n"/>
      <c r="L77" s="60" t="n"/>
      <c r="M77" s="61" t="n"/>
      <c r="N77" s="60" t="n"/>
      <c r="O77" s="60" t="n"/>
      <c r="P77" s="60" t="n"/>
      <c r="Q77" s="60" t="n"/>
      <c r="R77" s="60" t="n"/>
      <c r="S77" s="60" t="n"/>
      <c r="T77" s="60" t="n"/>
      <c r="U77" s="60" t="n"/>
      <c r="V77" s="60" t="n"/>
      <c r="W77" s="60" t="n"/>
      <c r="X77" s="60" t="n"/>
      <c r="Y77" s="63">
        <f>IF($H77="","",TODAY()-$H77)</f>
        <v/>
      </c>
      <c r="Z77" s="63">
        <f>IF($A77="","",IF(AND($F77="Yes",OR($U77="No",$U77="NOT FOUND")),"YES",""))</f>
        <v/>
      </c>
      <c r="AA77" s="66">
        <f>IF($A77="","",TRIM(IF(AND($P77=0,$L77&lt;&gt;"Yes"),"T0-NoSmartcard ","")&amp;IF(AND($J77&lt;&gt;"",$J77&gt;365),"StalePwd ","")&amp;IF($K77="Yes","PwdNeverExpires ","")&amp;IF(AND($S77&lt;&gt;"",$S77&lt;&gt;"None"),"Delegation ","")&amp;IF(AND($Q77=1,$O77="None"),"StaleAdminCount ","")&amp;IF(AND($F77="Yes",$H77=""),"NeverLoggedOn ","")))</f>
        <v/>
      </c>
      <c r="AB77" s="60" t="n"/>
      <c r="AC77" s="61" t="n"/>
      <c r="AD77" s="60" t="n"/>
      <c r="AE77" s="62" t="n"/>
      <c r="AF77" s="62" t="n"/>
      <c r="AG77" s="62" t="n"/>
      <c r="AH77" s="60" t="n"/>
      <c r="AI77" s="61" t="n"/>
      <c r="AJ77" s="63">
        <f>IF($A77="","",IF(AF77="","Not Enrolled",IF(TODAY()&gt;AF77,"Review Overdue",IF(AF77-TODAY()&lt;=30,"Review Due Soon","Active"))))</f>
        <v/>
      </c>
      <c r="AK77" s="63">
        <f>IF($A77="","",IF(AG77="","NOT REVIEWED",IF(TODAY()-AG77&gt;90,"OVERDUE",IF(TODAY()-AG77&gt;76,"Due Soon","Current"))))</f>
        <v/>
      </c>
    </row>
    <row r="78" ht="15" customHeight="1" s="39">
      <c r="A78" s="60" t="n"/>
      <c r="B78" s="60" t="n"/>
      <c r="C78" s="61" t="n"/>
      <c r="D78" s="61" t="n"/>
      <c r="E78" s="60" t="n"/>
      <c r="F78" s="60" t="n"/>
      <c r="G78" s="62" t="n"/>
      <c r="H78" s="62" t="n"/>
      <c r="I78" s="62" t="n"/>
      <c r="J78" s="60" t="n"/>
      <c r="K78" s="60" t="n"/>
      <c r="L78" s="60" t="n"/>
      <c r="M78" s="61" t="n"/>
      <c r="N78" s="60" t="n"/>
      <c r="O78" s="60" t="n"/>
      <c r="P78" s="60" t="n"/>
      <c r="Q78" s="60" t="n"/>
      <c r="R78" s="60" t="n"/>
      <c r="S78" s="60" t="n"/>
      <c r="T78" s="60" t="n"/>
      <c r="U78" s="60" t="n"/>
      <c r="V78" s="60" t="n"/>
      <c r="W78" s="60" t="n"/>
      <c r="X78" s="60" t="n"/>
      <c r="Y78" s="63">
        <f>IF($H78="","",TODAY()-$H78)</f>
        <v/>
      </c>
      <c r="Z78" s="63">
        <f>IF($A78="","",IF(AND($F78="Yes",OR($U78="No",$U78="NOT FOUND")),"YES",""))</f>
        <v/>
      </c>
      <c r="AA78" s="66">
        <f>IF($A78="","",TRIM(IF(AND($P78=0,$L78&lt;&gt;"Yes"),"T0-NoSmartcard ","")&amp;IF(AND($J78&lt;&gt;"",$J78&gt;365),"StalePwd ","")&amp;IF($K78="Yes","PwdNeverExpires ","")&amp;IF(AND($S78&lt;&gt;"",$S78&lt;&gt;"None"),"Delegation ","")&amp;IF(AND($Q78=1,$O78="None"),"StaleAdminCount ","")&amp;IF(AND($F78="Yes",$H78=""),"NeverLoggedOn ","")))</f>
        <v/>
      </c>
      <c r="AB78" s="60" t="n"/>
      <c r="AC78" s="61" t="n"/>
      <c r="AD78" s="60" t="n"/>
      <c r="AE78" s="62" t="n"/>
      <c r="AF78" s="62" t="n"/>
      <c r="AG78" s="62" t="n"/>
      <c r="AH78" s="60" t="n"/>
      <c r="AI78" s="61" t="n"/>
      <c r="AJ78" s="63">
        <f>IF($A78="","",IF(AF78="","Not Enrolled",IF(TODAY()&gt;AF78,"Review Overdue",IF(AF78-TODAY()&lt;=30,"Review Due Soon","Active"))))</f>
        <v/>
      </c>
      <c r="AK78" s="63">
        <f>IF($A78="","",IF(AG78="","NOT REVIEWED",IF(TODAY()-AG78&gt;90,"OVERDUE",IF(TODAY()-AG78&gt;76,"Due Soon","Current"))))</f>
        <v/>
      </c>
    </row>
    <row r="79" ht="15" customHeight="1" s="39">
      <c r="A79" s="60" t="n"/>
      <c r="B79" s="60" t="n"/>
      <c r="C79" s="61" t="n"/>
      <c r="D79" s="61" t="n"/>
      <c r="E79" s="60" t="n"/>
      <c r="F79" s="60" t="n"/>
      <c r="G79" s="62" t="n"/>
      <c r="H79" s="62" t="n"/>
      <c r="I79" s="62" t="n"/>
      <c r="J79" s="60" t="n"/>
      <c r="K79" s="60" t="n"/>
      <c r="L79" s="60" t="n"/>
      <c r="M79" s="61" t="n"/>
      <c r="N79" s="60" t="n"/>
      <c r="O79" s="60" t="n"/>
      <c r="P79" s="60" t="n"/>
      <c r="Q79" s="60" t="n"/>
      <c r="R79" s="60" t="n"/>
      <c r="S79" s="60" t="n"/>
      <c r="T79" s="60" t="n"/>
      <c r="U79" s="60" t="n"/>
      <c r="V79" s="60" t="n"/>
      <c r="W79" s="60" t="n"/>
      <c r="X79" s="60" t="n"/>
      <c r="Y79" s="63">
        <f>IF($H79="","",TODAY()-$H79)</f>
        <v/>
      </c>
      <c r="Z79" s="63">
        <f>IF($A79="","",IF(AND($F79="Yes",OR($U79="No",$U79="NOT FOUND")),"YES",""))</f>
        <v/>
      </c>
      <c r="AA79" s="66">
        <f>IF($A79="","",TRIM(IF(AND($P79=0,$L79&lt;&gt;"Yes"),"T0-NoSmartcard ","")&amp;IF(AND($J79&lt;&gt;"",$J79&gt;365),"StalePwd ","")&amp;IF($K79="Yes","PwdNeverExpires ","")&amp;IF(AND($S79&lt;&gt;"",$S79&lt;&gt;"None"),"Delegation ","")&amp;IF(AND($Q79=1,$O79="None"),"StaleAdminCount ","")&amp;IF(AND($F79="Yes",$H79=""),"NeverLoggedOn ","")))</f>
        <v/>
      </c>
      <c r="AB79" s="60" t="n"/>
      <c r="AC79" s="61" t="n"/>
      <c r="AD79" s="60" t="n"/>
      <c r="AE79" s="62" t="n"/>
      <c r="AF79" s="62" t="n"/>
      <c r="AG79" s="62" t="n"/>
      <c r="AH79" s="60" t="n"/>
      <c r="AI79" s="61" t="n"/>
      <c r="AJ79" s="63">
        <f>IF($A79="","",IF(AF79="","Not Enrolled",IF(TODAY()&gt;AF79,"Review Overdue",IF(AF79-TODAY()&lt;=30,"Review Due Soon","Active"))))</f>
        <v/>
      </c>
      <c r="AK79" s="63">
        <f>IF($A79="","",IF(AG79="","NOT REVIEWED",IF(TODAY()-AG79&gt;90,"OVERDUE",IF(TODAY()-AG79&gt;76,"Due Soon","Current"))))</f>
        <v/>
      </c>
    </row>
    <row r="80" ht="15" customHeight="1" s="39">
      <c r="A80" s="60" t="n"/>
      <c r="B80" s="60" t="n"/>
      <c r="C80" s="61" t="n"/>
      <c r="D80" s="61" t="n"/>
      <c r="E80" s="60" t="n"/>
      <c r="F80" s="60" t="n"/>
      <c r="G80" s="62" t="n"/>
      <c r="H80" s="62" t="n"/>
      <c r="I80" s="62" t="n"/>
      <c r="J80" s="60" t="n"/>
      <c r="K80" s="60" t="n"/>
      <c r="L80" s="60" t="n"/>
      <c r="M80" s="61" t="n"/>
      <c r="N80" s="60" t="n"/>
      <c r="O80" s="60" t="n"/>
      <c r="P80" s="60" t="n"/>
      <c r="Q80" s="60" t="n"/>
      <c r="R80" s="60" t="n"/>
      <c r="S80" s="60" t="n"/>
      <c r="T80" s="60" t="n"/>
      <c r="U80" s="60" t="n"/>
      <c r="V80" s="60" t="n"/>
      <c r="W80" s="60" t="n"/>
      <c r="X80" s="60" t="n"/>
      <c r="Y80" s="63">
        <f>IF($H80="","",TODAY()-$H80)</f>
        <v/>
      </c>
      <c r="Z80" s="63">
        <f>IF($A80="","",IF(AND($F80="Yes",OR($U80="No",$U80="NOT FOUND")),"YES",""))</f>
        <v/>
      </c>
      <c r="AA80" s="66">
        <f>IF($A80="","",TRIM(IF(AND($P80=0,$L80&lt;&gt;"Yes"),"T0-NoSmartcard ","")&amp;IF(AND($J80&lt;&gt;"",$J80&gt;365),"StalePwd ","")&amp;IF($K80="Yes","PwdNeverExpires ","")&amp;IF(AND($S80&lt;&gt;"",$S80&lt;&gt;"None"),"Delegation ","")&amp;IF(AND($Q80=1,$O80="None"),"StaleAdminCount ","")&amp;IF(AND($F80="Yes",$H80=""),"NeverLoggedOn ","")))</f>
        <v/>
      </c>
      <c r="AB80" s="60" t="n"/>
      <c r="AC80" s="61" t="n"/>
      <c r="AD80" s="60" t="n"/>
      <c r="AE80" s="62" t="n"/>
      <c r="AF80" s="62" t="n"/>
      <c r="AG80" s="62" t="n"/>
      <c r="AH80" s="60" t="n"/>
      <c r="AI80" s="61" t="n"/>
      <c r="AJ80" s="63">
        <f>IF($A80="","",IF(AF80="","Not Enrolled",IF(TODAY()&gt;AF80,"Review Overdue",IF(AF80-TODAY()&lt;=30,"Review Due Soon","Active"))))</f>
        <v/>
      </c>
      <c r="AK80" s="63">
        <f>IF($A80="","",IF(AG80="","NOT REVIEWED",IF(TODAY()-AG80&gt;90,"OVERDUE",IF(TODAY()-AG80&gt;76,"Due Soon","Current"))))</f>
        <v/>
      </c>
    </row>
    <row r="81" ht="15" customHeight="1" s="39">
      <c r="A81" s="60" t="n"/>
      <c r="B81" s="60" t="n"/>
      <c r="C81" s="61" t="n"/>
      <c r="D81" s="61" t="n"/>
      <c r="E81" s="60" t="n"/>
      <c r="F81" s="60" t="n"/>
      <c r="G81" s="62" t="n"/>
      <c r="H81" s="62" t="n"/>
      <c r="I81" s="62" t="n"/>
      <c r="J81" s="60" t="n"/>
      <c r="K81" s="60" t="n"/>
      <c r="L81" s="60" t="n"/>
      <c r="M81" s="61" t="n"/>
      <c r="N81" s="60" t="n"/>
      <c r="O81" s="60" t="n"/>
      <c r="P81" s="60" t="n"/>
      <c r="Q81" s="60" t="n"/>
      <c r="R81" s="60" t="n"/>
      <c r="S81" s="60" t="n"/>
      <c r="T81" s="60" t="n"/>
      <c r="U81" s="60" t="n"/>
      <c r="V81" s="60" t="n"/>
      <c r="W81" s="60" t="n"/>
      <c r="X81" s="60" t="n"/>
      <c r="Y81" s="63">
        <f>IF($H81="","",TODAY()-$H81)</f>
        <v/>
      </c>
      <c r="Z81" s="63">
        <f>IF($A81="","",IF(AND($F81="Yes",OR($U81="No",$U81="NOT FOUND")),"YES",""))</f>
        <v/>
      </c>
      <c r="AA81" s="66">
        <f>IF($A81="","",TRIM(IF(AND($P81=0,$L81&lt;&gt;"Yes"),"T0-NoSmartcard ","")&amp;IF(AND($J81&lt;&gt;"",$J81&gt;365),"StalePwd ","")&amp;IF($K81="Yes","PwdNeverExpires ","")&amp;IF(AND($S81&lt;&gt;"",$S81&lt;&gt;"None"),"Delegation ","")&amp;IF(AND($Q81=1,$O81="None"),"StaleAdminCount ","")&amp;IF(AND($F81="Yes",$H81=""),"NeverLoggedOn ","")))</f>
        <v/>
      </c>
      <c r="AB81" s="60" t="n"/>
      <c r="AC81" s="61" t="n"/>
      <c r="AD81" s="60" t="n"/>
      <c r="AE81" s="62" t="n"/>
      <c r="AF81" s="62" t="n"/>
      <c r="AG81" s="62" t="n"/>
      <c r="AH81" s="60" t="n"/>
      <c r="AI81" s="61" t="n"/>
      <c r="AJ81" s="63">
        <f>IF($A81="","",IF(AF81="","Not Enrolled",IF(TODAY()&gt;AF81,"Review Overdue",IF(AF81-TODAY()&lt;=30,"Review Due Soon","Active"))))</f>
        <v/>
      </c>
      <c r="AK81" s="63">
        <f>IF($A81="","",IF(AG81="","NOT REVIEWED",IF(TODAY()-AG81&gt;90,"OVERDUE",IF(TODAY()-AG81&gt;76,"Due Soon","Current"))))</f>
        <v/>
      </c>
    </row>
    <row r="82" ht="15" customHeight="1" s="39">
      <c r="A82" s="60" t="n"/>
      <c r="B82" s="60" t="n"/>
      <c r="C82" s="61" t="n"/>
      <c r="D82" s="61" t="n"/>
      <c r="E82" s="60" t="n"/>
      <c r="F82" s="60" t="n"/>
      <c r="G82" s="62" t="n"/>
      <c r="H82" s="62" t="n"/>
      <c r="I82" s="62" t="n"/>
      <c r="J82" s="60" t="n"/>
      <c r="K82" s="60" t="n"/>
      <c r="L82" s="60" t="n"/>
      <c r="M82" s="61" t="n"/>
      <c r="N82" s="60" t="n"/>
      <c r="O82" s="60" t="n"/>
      <c r="P82" s="60" t="n"/>
      <c r="Q82" s="60" t="n"/>
      <c r="R82" s="60" t="n"/>
      <c r="S82" s="60" t="n"/>
      <c r="T82" s="60" t="n"/>
      <c r="U82" s="60" t="n"/>
      <c r="V82" s="60" t="n"/>
      <c r="W82" s="60" t="n"/>
      <c r="X82" s="60" t="n"/>
      <c r="Y82" s="63">
        <f>IF($H82="","",TODAY()-$H82)</f>
        <v/>
      </c>
      <c r="Z82" s="63">
        <f>IF($A82="","",IF(AND($F82="Yes",OR($U82="No",$U82="NOT FOUND")),"YES",""))</f>
        <v/>
      </c>
      <c r="AA82" s="66">
        <f>IF($A82="","",TRIM(IF(AND($P82=0,$L82&lt;&gt;"Yes"),"T0-NoSmartcard ","")&amp;IF(AND($J82&lt;&gt;"",$J82&gt;365),"StalePwd ","")&amp;IF($K82="Yes","PwdNeverExpires ","")&amp;IF(AND($S82&lt;&gt;"",$S82&lt;&gt;"None"),"Delegation ","")&amp;IF(AND($Q82=1,$O82="None"),"StaleAdminCount ","")&amp;IF(AND($F82="Yes",$H82=""),"NeverLoggedOn ","")))</f>
        <v/>
      </c>
      <c r="AB82" s="60" t="n"/>
      <c r="AC82" s="61" t="n"/>
      <c r="AD82" s="60" t="n"/>
      <c r="AE82" s="62" t="n"/>
      <c r="AF82" s="62" t="n"/>
      <c r="AG82" s="62" t="n"/>
      <c r="AH82" s="60" t="n"/>
      <c r="AI82" s="61" t="n"/>
      <c r="AJ82" s="63">
        <f>IF($A82="","",IF(AF82="","Not Enrolled",IF(TODAY()&gt;AF82,"Review Overdue",IF(AF82-TODAY()&lt;=30,"Review Due Soon","Active"))))</f>
        <v/>
      </c>
      <c r="AK82" s="63">
        <f>IF($A82="","",IF(AG82="","NOT REVIEWED",IF(TODAY()-AG82&gt;90,"OVERDUE",IF(TODAY()-AG82&gt;76,"Due Soon","Current"))))</f>
        <v/>
      </c>
    </row>
    <row r="83" ht="15" customHeight="1" s="39">
      <c r="A83" s="60" t="n"/>
      <c r="B83" s="60" t="n"/>
      <c r="C83" s="61" t="n"/>
      <c r="D83" s="61" t="n"/>
      <c r="E83" s="60" t="n"/>
      <c r="F83" s="60" t="n"/>
      <c r="G83" s="62" t="n"/>
      <c r="H83" s="62" t="n"/>
      <c r="I83" s="62" t="n"/>
      <c r="J83" s="60" t="n"/>
      <c r="K83" s="60" t="n"/>
      <c r="L83" s="60" t="n"/>
      <c r="M83" s="61" t="n"/>
      <c r="N83" s="60" t="n"/>
      <c r="O83" s="60" t="n"/>
      <c r="P83" s="60" t="n"/>
      <c r="Q83" s="60" t="n"/>
      <c r="R83" s="60" t="n"/>
      <c r="S83" s="60" t="n"/>
      <c r="T83" s="60" t="n"/>
      <c r="U83" s="60" t="n"/>
      <c r="V83" s="60" t="n"/>
      <c r="W83" s="60" t="n"/>
      <c r="X83" s="60" t="n"/>
      <c r="Y83" s="63">
        <f>IF($H83="","",TODAY()-$H83)</f>
        <v/>
      </c>
      <c r="Z83" s="63">
        <f>IF($A83="","",IF(AND($F83="Yes",OR($U83="No",$U83="NOT FOUND")),"YES",""))</f>
        <v/>
      </c>
      <c r="AA83" s="66">
        <f>IF($A83="","",TRIM(IF(AND($P83=0,$L83&lt;&gt;"Yes"),"T0-NoSmartcard ","")&amp;IF(AND($J83&lt;&gt;"",$J83&gt;365),"StalePwd ","")&amp;IF($K83="Yes","PwdNeverExpires ","")&amp;IF(AND($S83&lt;&gt;"",$S83&lt;&gt;"None"),"Delegation ","")&amp;IF(AND($Q83=1,$O83="None"),"StaleAdminCount ","")&amp;IF(AND($F83="Yes",$H83=""),"NeverLoggedOn ","")))</f>
        <v/>
      </c>
      <c r="AB83" s="60" t="n"/>
      <c r="AC83" s="61" t="n"/>
      <c r="AD83" s="60" t="n"/>
      <c r="AE83" s="62" t="n"/>
      <c r="AF83" s="62" t="n"/>
      <c r="AG83" s="62" t="n"/>
      <c r="AH83" s="60" t="n"/>
      <c r="AI83" s="61" t="n"/>
      <c r="AJ83" s="63">
        <f>IF($A83="","",IF(AF83="","Not Enrolled",IF(TODAY()&gt;AF83,"Review Overdue",IF(AF83-TODAY()&lt;=30,"Review Due Soon","Active"))))</f>
        <v/>
      </c>
      <c r="AK83" s="63">
        <f>IF($A83="","",IF(AG83="","NOT REVIEWED",IF(TODAY()-AG83&gt;90,"OVERDUE",IF(TODAY()-AG83&gt;76,"Due Soon","Current"))))</f>
        <v/>
      </c>
    </row>
    <row r="84" ht="15" customHeight="1" s="39">
      <c r="A84" s="60" t="n"/>
      <c r="B84" s="60" t="n"/>
      <c r="C84" s="61" t="n"/>
      <c r="D84" s="61" t="n"/>
      <c r="E84" s="60" t="n"/>
      <c r="F84" s="60" t="n"/>
      <c r="G84" s="62" t="n"/>
      <c r="H84" s="62" t="n"/>
      <c r="I84" s="62" t="n"/>
      <c r="J84" s="60" t="n"/>
      <c r="K84" s="60" t="n"/>
      <c r="L84" s="60" t="n"/>
      <c r="M84" s="61" t="n"/>
      <c r="N84" s="60" t="n"/>
      <c r="O84" s="60" t="n"/>
      <c r="P84" s="60" t="n"/>
      <c r="Q84" s="60" t="n"/>
      <c r="R84" s="60" t="n"/>
      <c r="S84" s="60" t="n"/>
      <c r="T84" s="60" t="n"/>
      <c r="U84" s="60" t="n"/>
      <c r="V84" s="60" t="n"/>
      <c r="W84" s="60" t="n"/>
      <c r="X84" s="60" t="n"/>
      <c r="Y84" s="63">
        <f>IF($H84="","",TODAY()-$H84)</f>
        <v/>
      </c>
      <c r="Z84" s="63">
        <f>IF($A84="","",IF(AND($F84="Yes",OR($U84="No",$U84="NOT FOUND")),"YES",""))</f>
        <v/>
      </c>
      <c r="AA84" s="66">
        <f>IF($A84="","",TRIM(IF(AND($P84=0,$L84&lt;&gt;"Yes"),"T0-NoSmartcard ","")&amp;IF(AND($J84&lt;&gt;"",$J84&gt;365),"StalePwd ","")&amp;IF($K84="Yes","PwdNeverExpires ","")&amp;IF(AND($S84&lt;&gt;"",$S84&lt;&gt;"None"),"Delegation ","")&amp;IF(AND($Q84=1,$O84="None"),"StaleAdminCount ","")&amp;IF(AND($F84="Yes",$H84=""),"NeverLoggedOn ","")))</f>
        <v/>
      </c>
      <c r="AB84" s="60" t="n"/>
      <c r="AC84" s="61" t="n"/>
      <c r="AD84" s="60" t="n"/>
      <c r="AE84" s="62" t="n"/>
      <c r="AF84" s="62" t="n"/>
      <c r="AG84" s="62" t="n"/>
      <c r="AH84" s="60" t="n"/>
      <c r="AI84" s="61" t="n"/>
      <c r="AJ84" s="63">
        <f>IF($A84="","",IF(AF84="","Not Enrolled",IF(TODAY()&gt;AF84,"Review Overdue",IF(AF84-TODAY()&lt;=30,"Review Due Soon","Active"))))</f>
        <v/>
      </c>
      <c r="AK84" s="63">
        <f>IF($A84="","",IF(AG84="","NOT REVIEWED",IF(TODAY()-AG84&gt;90,"OVERDUE",IF(TODAY()-AG84&gt;76,"Due Soon","Current"))))</f>
        <v/>
      </c>
    </row>
    <row r="85" ht="15" customHeight="1" s="39">
      <c r="A85" s="60" t="n"/>
      <c r="B85" s="60" t="n"/>
      <c r="C85" s="61" t="n"/>
      <c r="D85" s="61" t="n"/>
      <c r="E85" s="60" t="n"/>
      <c r="F85" s="60" t="n"/>
      <c r="G85" s="62" t="n"/>
      <c r="H85" s="62" t="n"/>
      <c r="I85" s="62" t="n"/>
      <c r="J85" s="60" t="n"/>
      <c r="K85" s="60" t="n"/>
      <c r="L85" s="60" t="n"/>
      <c r="M85" s="61" t="n"/>
      <c r="N85" s="60" t="n"/>
      <c r="O85" s="60" t="n"/>
      <c r="P85" s="60" t="n"/>
      <c r="Q85" s="60" t="n"/>
      <c r="R85" s="60" t="n"/>
      <c r="S85" s="60" t="n"/>
      <c r="T85" s="60" t="n"/>
      <c r="U85" s="60" t="n"/>
      <c r="V85" s="60" t="n"/>
      <c r="W85" s="60" t="n"/>
      <c r="X85" s="60" t="n"/>
      <c r="Y85" s="63">
        <f>IF($H85="","",TODAY()-$H85)</f>
        <v/>
      </c>
      <c r="Z85" s="63">
        <f>IF($A85="","",IF(AND($F85="Yes",OR($U85="No",$U85="NOT FOUND")),"YES",""))</f>
        <v/>
      </c>
      <c r="AA85" s="66">
        <f>IF($A85="","",TRIM(IF(AND($P85=0,$L85&lt;&gt;"Yes"),"T0-NoSmartcard ","")&amp;IF(AND($J85&lt;&gt;"",$J85&gt;365),"StalePwd ","")&amp;IF($K85="Yes","PwdNeverExpires ","")&amp;IF(AND($S85&lt;&gt;"",$S85&lt;&gt;"None"),"Delegation ","")&amp;IF(AND($Q85=1,$O85="None"),"StaleAdminCount ","")&amp;IF(AND($F85="Yes",$H85=""),"NeverLoggedOn ","")))</f>
        <v/>
      </c>
      <c r="AB85" s="60" t="n"/>
      <c r="AC85" s="61" t="n"/>
      <c r="AD85" s="60" t="n"/>
      <c r="AE85" s="62" t="n"/>
      <c r="AF85" s="62" t="n"/>
      <c r="AG85" s="62" t="n"/>
      <c r="AH85" s="60" t="n"/>
      <c r="AI85" s="61" t="n"/>
      <c r="AJ85" s="63">
        <f>IF($A85="","",IF(AF85="","Not Enrolled",IF(TODAY()&gt;AF85,"Review Overdue",IF(AF85-TODAY()&lt;=30,"Review Due Soon","Active"))))</f>
        <v/>
      </c>
      <c r="AK85" s="63">
        <f>IF($A85="","",IF(AG85="","NOT REVIEWED",IF(TODAY()-AG85&gt;90,"OVERDUE",IF(TODAY()-AG85&gt;76,"Due Soon","Current"))))</f>
        <v/>
      </c>
    </row>
    <row r="86" ht="15" customHeight="1" s="39">
      <c r="A86" s="60" t="n"/>
      <c r="B86" s="60" t="n"/>
      <c r="C86" s="61" t="n"/>
      <c r="D86" s="61" t="n"/>
      <c r="E86" s="60" t="n"/>
      <c r="F86" s="60" t="n"/>
      <c r="G86" s="62" t="n"/>
      <c r="H86" s="62" t="n"/>
      <c r="I86" s="62" t="n"/>
      <c r="J86" s="60" t="n"/>
      <c r="K86" s="60" t="n"/>
      <c r="L86" s="60" t="n"/>
      <c r="M86" s="61" t="n"/>
      <c r="N86" s="60" t="n"/>
      <c r="O86" s="60" t="n"/>
      <c r="P86" s="60" t="n"/>
      <c r="Q86" s="60" t="n"/>
      <c r="R86" s="60" t="n"/>
      <c r="S86" s="60" t="n"/>
      <c r="T86" s="60" t="n"/>
      <c r="U86" s="60" t="n"/>
      <c r="V86" s="60" t="n"/>
      <c r="W86" s="60" t="n"/>
      <c r="X86" s="60" t="n"/>
      <c r="Y86" s="63">
        <f>IF($H86="","",TODAY()-$H86)</f>
        <v/>
      </c>
      <c r="Z86" s="63">
        <f>IF($A86="","",IF(AND($F86="Yes",OR($U86="No",$U86="NOT FOUND")),"YES",""))</f>
        <v/>
      </c>
      <c r="AA86" s="66">
        <f>IF($A86="","",TRIM(IF(AND($P86=0,$L86&lt;&gt;"Yes"),"T0-NoSmartcard ","")&amp;IF(AND($J86&lt;&gt;"",$J86&gt;365),"StalePwd ","")&amp;IF($K86="Yes","PwdNeverExpires ","")&amp;IF(AND($S86&lt;&gt;"",$S86&lt;&gt;"None"),"Delegation ","")&amp;IF(AND($Q86=1,$O86="None"),"StaleAdminCount ","")&amp;IF(AND($F86="Yes",$H86=""),"NeverLoggedOn ","")))</f>
        <v/>
      </c>
      <c r="AB86" s="60" t="n"/>
      <c r="AC86" s="61" t="n"/>
      <c r="AD86" s="60" t="n"/>
      <c r="AE86" s="62" t="n"/>
      <c r="AF86" s="62" t="n"/>
      <c r="AG86" s="62" t="n"/>
      <c r="AH86" s="60" t="n"/>
      <c r="AI86" s="61" t="n"/>
      <c r="AJ86" s="63">
        <f>IF($A86="","",IF(AF86="","Not Enrolled",IF(TODAY()&gt;AF86,"Review Overdue",IF(AF86-TODAY()&lt;=30,"Review Due Soon","Active"))))</f>
        <v/>
      </c>
      <c r="AK86" s="63">
        <f>IF($A86="","",IF(AG86="","NOT REVIEWED",IF(TODAY()-AG86&gt;90,"OVERDUE",IF(TODAY()-AG86&gt;76,"Due Soon","Current"))))</f>
        <v/>
      </c>
    </row>
    <row r="87" ht="15" customHeight="1" s="39">
      <c r="A87" s="60" t="n"/>
      <c r="B87" s="60" t="n"/>
      <c r="C87" s="61" t="n"/>
      <c r="D87" s="61" t="n"/>
      <c r="E87" s="60" t="n"/>
      <c r="F87" s="60" t="n"/>
      <c r="G87" s="62" t="n"/>
      <c r="H87" s="62" t="n"/>
      <c r="I87" s="62" t="n"/>
      <c r="J87" s="60" t="n"/>
      <c r="K87" s="60" t="n"/>
      <c r="L87" s="60" t="n"/>
      <c r="M87" s="61" t="n"/>
      <c r="N87" s="60" t="n"/>
      <c r="O87" s="60" t="n"/>
      <c r="P87" s="60" t="n"/>
      <c r="Q87" s="60" t="n"/>
      <c r="R87" s="60" t="n"/>
      <c r="S87" s="60" t="n"/>
      <c r="T87" s="60" t="n"/>
      <c r="U87" s="60" t="n"/>
      <c r="V87" s="60" t="n"/>
      <c r="W87" s="60" t="n"/>
      <c r="X87" s="60" t="n"/>
      <c r="Y87" s="63">
        <f>IF($H87="","",TODAY()-$H87)</f>
        <v/>
      </c>
      <c r="Z87" s="63">
        <f>IF($A87="","",IF(AND($F87="Yes",OR($U87="No",$U87="NOT FOUND")),"YES",""))</f>
        <v/>
      </c>
      <c r="AA87" s="66">
        <f>IF($A87="","",TRIM(IF(AND($P87=0,$L87&lt;&gt;"Yes"),"T0-NoSmartcard ","")&amp;IF(AND($J87&lt;&gt;"",$J87&gt;365),"StalePwd ","")&amp;IF($K87="Yes","PwdNeverExpires ","")&amp;IF(AND($S87&lt;&gt;"",$S87&lt;&gt;"None"),"Delegation ","")&amp;IF(AND($Q87=1,$O87="None"),"StaleAdminCount ","")&amp;IF(AND($F87="Yes",$H87=""),"NeverLoggedOn ","")))</f>
        <v/>
      </c>
      <c r="AB87" s="60" t="n"/>
      <c r="AC87" s="61" t="n"/>
      <c r="AD87" s="60" t="n"/>
      <c r="AE87" s="62" t="n"/>
      <c r="AF87" s="62" t="n"/>
      <c r="AG87" s="62" t="n"/>
      <c r="AH87" s="60" t="n"/>
      <c r="AI87" s="61" t="n"/>
      <c r="AJ87" s="63">
        <f>IF($A87="","",IF(AF87="","Not Enrolled",IF(TODAY()&gt;AF87,"Review Overdue",IF(AF87-TODAY()&lt;=30,"Review Due Soon","Active"))))</f>
        <v/>
      </c>
      <c r="AK87" s="63">
        <f>IF($A87="","",IF(AG87="","NOT REVIEWED",IF(TODAY()-AG87&gt;90,"OVERDUE",IF(TODAY()-AG87&gt;76,"Due Soon","Current"))))</f>
        <v/>
      </c>
    </row>
    <row r="88" ht="15" customHeight="1" s="39">
      <c r="A88" s="60" t="n"/>
      <c r="B88" s="60" t="n"/>
      <c r="C88" s="61" t="n"/>
      <c r="D88" s="61" t="n"/>
      <c r="E88" s="60" t="n"/>
      <c r="F88" s="60" t="n"/>
      <c r="G88" s="62" t="n"/>
      <c r="H88" s="62" t="n"/>
      <c r="I88" s="62" t="n"/>
      <c r="J88" s="60" t="n"/>
      <c r="K88" s="60" t="n"/>
      <c r="L88" s="60" t="n"/>
      <c r="M88" s="61" t="n"/>
      <c r="N88" s="60" t="n"/>
      <c r="O88" s="60" t="n"/>
      <c r="P88" s="60" t="n"/>
      <c r="Q88" s="60" t="n"/>
      <c r="R88" s="60" t="n"/>
      <c r="S88" s="60" t="n"/>
      <c r="T88" s="60" t="n"/>
      <c r="U88" s="60" t="n"/>
      <c r="V88" s="60" t="n"/>
      <c r="W88" s="60" t="n"/>
      <c r="X88" s="60" t="n"/>
      <c r="Y88" s="63">
        <f>IF($H88="","",TODAY()-$H88)</f>
        <v/>
      </c>
      <c r="Z88" s="63">
        <f>IF($A88="","",IF(AND($F88="Yes",OR($U88="No",$U88="NOT FOUND")),"YES",""))</f>
        <v/>
      </c>
      <c r="AA88" s="66">
        <f>IF($A88="","",TRIM(IF(AND($P88=0,$L88&lt;&gt;"Yes"),"T0-NoSmartcard ","")&amp;IF(AND($J88&lt;&gt;"",$J88&gt;365),"StalePwd ","")&amp;IF($K88="Yes","PwdNeverExpires ","")&amp;IF(AND($S88&lt;&gt;"",$S88&lt;&gt;"None"),"Delegation ","")&amp;IF(AND($Q88=1,$O88="None"),"StaleAdminCount ","")&amp;IF(AND($F88="Yes",$H88=""),"NeverLoggedOn ","")))</f>
        <v/>
      </c>
      <c r="AB88" s="60" t="n"/>
      <c r="AC88" s="61" t="n"/>
      <c r="AD88" s="60" t="n"/>
      <c r="AE88" s="62" t="n"/>
      <c r="AF88" s="62" t="n"/>
      <c r="AG88" s="62" t="n"/>
      <c r="AH88" s="60" t="n"/>
      <c r="AI88" s="61" t="n"/>
      <c r="AJ88" s="63">
        <f>IF($A88="","",IF(AF88="","Not Enrolled",IF(TODAY()&gt;AF88,"Review Overdue",IF(AF88-TODAY()&lt;=30,"Review Due Soon","Active"))))</f>
        <v/>
      </c>
      <c r="AK88" s="63">
        <f>IF($A88="","",IF(AG88="","NOT REVIEWED",IF(TODAY()-AG88&gt;90,"OVERDUE",IF(TODAY()-AG88&gt;76,"Due Soon","Current"))))</f>
        <v/>
      </c>
    </row>
    <row r="89" ht="15" customHeight="1" s="39">
      <c r="A89" s="60" t="n"/>
      <c r="B89" s="60" t="n"/>
      <c r="C89" s="61" t="n"/>
      <c r="D89" s="61" t="n"/>
      <c r="E89" s="60" t="n"/>
      <c r="F89" s="60" t="n"/>
      <c r="G89" s="62" t="n"/>
      <c r="H89" s="62" t="n"/>
      <c r="I89" s="62" t="n"/>
      <c r="J89" s="60" t="n"/>
      <c r="K89" s="60" t="n"/>
      <c r="L89" s="60" t="n"/>
      <c r="M89" s="61" t="n"/>
      <c r="N89" s="60" t="n"/>
      <c r="O89" s="60" t="n"/>
      <c r="P89" s="60" t="n"/>
      <c r="Q89" s="60" t="n"/>
      <c r="R89" s="60" t="n"/>
      <c r="S89" s="60" t="n"/>
      <c r="T89" s="60" t="n"/>
      <c r="U89" s="60" t="n"/>
      <c r="V89" s="60" t="n"/>
      <c r="W89" s="60" t="n"/>
      <c r="X89" s="60" t="n"/>
      <c r="Y89" s="63">
        <f>IF($H89="","",TODAY()-$H89)</f>
        <v/>
      </c>
      <c r="Z89" s="63">
        <f>IF($A89="","",IF(AND($F89="Yes",OR($U89="No",$U89="NOT FOUND")),"YES",""))</f>
        <v/>
      </c>
      <c r="AA89" s="66">
        <f>IF($A89="","",TRIM(IF(AND($P89=0,$L89&lt;&gt;"Yes"),"T0-NoSmartcard ","")&amp;IF(AND($J89&lt;&gt;"",$J89&gt;365),"StalePwd ","")&amp;IF($K89="Yes","PwdNeverExpires ","")&amp;IF(AND($S89&lt;&gt;"",$S89&lt;&gt;"None"),"Delegation ","")&amp;IF(AND($Q89=1,$O89="None"),"StaleAdminCount ","")&amp;IF(AND($F89="Yes",$H89=""),"NeverLoggedOn ","")))</f>
        <v/>
      </c>
      <c r="AB89" s="60" t="n"/>
      <c r="AC89" s="61" t="n"/>
      <c r="AD89" s="60" t="n"/>
      <c r="AE89" s="62" t="n"/>
      <c r="AF89" s="62" t="n"/>
      <c r="AG89" s="62" t="n"/>
      <c r="AH89" s="60" t="n"/>
      <c r="AI89" s="61" t="n"/>
      <c r="AJ89" s="63">
        <f>IF($A89="","",IF(AF89="","Not Enrolled",IF(TODAY()&gt;AF89,"Review Overdue",IF(AF89-TODAY()&lt;=30,"Review Due Soon","Active"))))</f>
        <v/>
      </c>
      <c r="AK89" s="63">
        <f>IF($A89="","",IF(AG89="","NOT REVIEWED",IF(TODAY()-AG89&gt;90,"OVERDUE",IF(TODAY()-AG89&gt;76,"Due Soon","Current"))))</f>
        <v/>
      </c>
    </row>
    <row r="90" ht="15" customHeight="1" s="39">
      <c r="A90" s="60" t="n"/>
      <c r="B90" s="60" t="n"/>
      <c r="C90" s="61" t="n"/>
      <c r="D90" s="61" t="n"/>
      <c r="E90" s="60" t="n"/>
      <c r="F90" s="60" t="n"/>
      <c r="G90" s="62" t="n"/>
      <c r="H90" s="62" t="n"/>
      <c r="I90" s="62" t="n"/>
      <c r="J90" s="60" t="n"/>
      <c r="K90" s="60" t="n"/>
      <c r="L90" s="60" t="n"/>
      <c r="M90" s="61" t="n"/>
      <c r="N90" s="60" t="n"/>
      <c r="O90" s="60" t="n"/>
      <c r="P90" s="60" t="n"/>
      <c r="Q90" s="60" t="n"/>
      <c r="R90" s="60" t="n"/>
      <c r="S90" s="60" t="n"/>
      <c r="T90" s="60" t="n"/>
      <c r="U90" s="60" t="n"/>
      <c r="V90" s="60" t="n"/>
      <c r="W90" s="60" t="n"/>
      <c r="X90" s="60" t="n"/>
      <c r="Y90" s="63">
        <f>IF($H90="","",TODAY()-$H90)</f>
        <v/>
      </c>
      <c r="Z90" s="63">
        <f>IF($A90="","",IF(AND($F90="Yes",OR($U90="No",$U90="NOT FOUND")),"YES",""))</f>
        <v/>
      </c>
      <c r="AA90" s="66">
        <f>IF($A90="","",TRIM(IF(AND($P90=0,$L90&lt;&gt;"Yes"),"T0-NoSmartcard ","")&amp;IF(AND($J90&lt;&gt;"",$J90&gt;365),"StalePwd ","")&amp;IF($K90="Yes","PwdNeverExpires ","")&amp;IF(AND($S90&lt;&gt;"",$S90&lt;&gt;"None"),"Delegation ","")&amp;IF(AND($Q90=1,$O90="None"),"StaleAdminCount ","")&amp;IF(AND($F90="Yes",$H90=""),"NeverLoggedOn ","")))</f>
        <v/>
      </c>
      <c r="AB90" s="60" t="n"/>
      <c r="AC90" s="61" t="n"/>
      <c r="AD90" s="60" t="n"/>
      <c r="AE90" s="62" t="n"/>
      <c r="AF90" s="62" t="n"/>
      <c r="AG90" s="62" t="n"/>
      <c r="AH90" s="60" t="n"/>
      <c r="AI90" s="61" t="n"/>
      <c r="AJ90" s="63">
        <f>IF($A90="","",IF(AF90="","Not Enrolled",IF(TODAY()&gt;AF90,"Review Overdue",IF(AF90-TODAY()&lt;=30,"Review Due Soon","Active"))))</f>
        <v/>
      </c>
      <c r="AK90" s="63">
        <f>IF($A90="","",IF(AG90="","NOT REVIEWED",IF(TODAY()-AG90&gt;90,"OVERDUE",IF(TODAY()-AG90&gt;76,"Due Soon","Current"))))</f>
        <v/>
      </c>
    </row>
    <row r="91" ht="15" customHeight="1" s="39">
      <c r="A91" s="60" t="n"/>
      <c r="B91" s="60" t="n"/>
      <c r="C91" s="61" t="n"/>
      <c r="D91" s="61" t="n"/>
      <c r="E91" s="60" t="n"/>
      <c r="F91" s="60" t="n"/>
      <c r="G91" s="62" t="n"/>
      <c r="H91" s="62" t="n"/>
      <c r="I91" s="62" t="n"/>
      <c r="J91" s="60" t="n"/>
      <c r="K91" s="60" t="n"/>
      <c r="L91" s="60" t="n"/>
      <c r="M91" s="61" t="n"/>
      <c r="N91" s="60" t="n"/>
      <c r="O91" s="60" t="n"/>
      <c r="P91" s="60" t="n"/>
      <c r="Q91" s="60" t="n"/>
      <c r="R91" s="60" t="n"/>
      <c r="S91" s="60" t="n"/>
      <c r="T91" s="60" t="n"/>
      <c r="U91" s="60" t="n"/>
      <c r="V91" s="60" t="n"/>
      <c r="W91" s="60" t="n"/>
      <c r="X91" s="60" t="n"/>
      <c r="Y91" s="63">
        <f>IF($H91="","",TODAY()-$H91)</f>
        <v/>
      </c>
      <c r="Z91" s="63">
        <f>IF($A91="","",IF(AND($F91="Yes",OR($U91="No",$U91="NOT FOUND")),"YES",""))</f>
        <v/>
      </c>
      <c r="AA91" s="66">
        <f>IF($A91="","",TRIM(IF(AND($P91=0,$L91&lt;&gt;"Yes"),"T0-NoSmartcard ","")&amp;IF(AND($J91&lt;&gt;"",$J91&gt;365),"StalePwd ","")&amp;IF($K91="Yes","PwdNeverExpires ","")&amp;IF(AND($S91&lt;&gt;"",$S91&lt;&gt;"None"),"Delegation ","")&amp;IF(AND($Q91=1,$O91="None"),"StaleAdminCount ","")&amp;IF(AND($F91="Yes",$H91=""),"NeverLoggedOn ","")))</f>
        <v/>
      </c>
      <c r="AB91" s="60" t="n"/>
      <c r="AC91" s="61" t="n"/>
      <c r="AD91" s="60" t="n"/>
      <c r="AE91" s="62" t="n"/>
      <c r="AF91" s="62" t="n"/>
      <c r="AG91" s="62" t="n"/>
      <c r="AH91" s="60" t="n"/>
      <c r="AI91" s="61" t="n"/>
      <c r="AJ91" s="63">
        <f>IF($A91="","",IF(AF91="","Not Enrolled",IF(TODAY()&gt;AF91,"Review Overdue",IF(AF91-TODAY()&lt;=30,"Review Due Soon","Active"))))</f>
        <v/>
      </c>
      <c r="AK91" s="63">
        <f>IF($A91="","",IF(AG91="","NOT REVIEWED",IF(TODAY()-AG91&gt;90,"OVERDUE",IF(TODAY()-AG91&gt;76,"Due Soon","Current"))))</f>
        <v/>
      </c>
    </row>
    <row r="92" ht="15" customHeight="1" s="39">
      <c r="A92" s="60" t="n"/>
      <c r="B92" s="60" t="n"/>
      <c r="C92" s="61" t="n"/>
      <c r="D92" s="61" t="n"/>
      <c r="E92" s="60" t="n"/>
      <c r="F92" s="60" t="n"/>
      <c r="G92" s="62" t="n"/>
      <c r="H92" s="62" t="n"/>
      <c r="I92" s="62" t="n"/>
      <c r="J92" s="60" t="n"/>
      <c r="K92" s="60" t="n"/>
      <c r="L92" s="60" t="n"/>
      <c r="M92" s="61" t="n"/>
      <c r="N92" s="60" t="n"/>
      <c r="O92" s="60" t="n"/>
      <c r="P92" s="60" t="n"/>
      <c r="Q92" s="60" t="n"/>
      <c r="R92" s="60" t="n"/>
      <c r="S92" s="60" t="n"/>
      <c r="T92" s="60" t="n"/>
      <c r="U92" s="60" t="n"/>
      <c r="V92" s="60" t="n"/>
      <c r="W92" s="60" t="n"/>
      <c r="X92" s="60" t="n"/>
      <c r="Y92" s="63">
        <f>IF($H92="","",TODAY()-$H92)</f>
        <v/>
      </c>
      <c r="Z92" s="63">
        <f>IF($A92="","",IF(AND($F92="Yes",OR($U92="No",$U92="NOT FOUND")),"YES",""))</f>
        <v/>
      </c>
      <c r="AA92" s="66">
        <f>IF($A92="","",TRIM(IF(AND($P92=0,$L92&lt;&gt;"Yes"),"T0-NoSmartcard ","")&amp;IF(AND($J92&lt;&gt;"",$J92&gt;365),"StalePwd ","")&amp;IF($K92="Yes","PwdNeverExpires ","")&amp;IF(AND($S92&lt;&gt;"",$S92&lt;&gt;"None"),"Delegation ","")&amp;IF(AND($Q92=1,$O92="None"),"StaleAdminCount ","")&amp;IF(AND($F92="Yes",$H92=""),"NeverLoggedOn ","")))</f>
        <v/>
      </c>
      <c r="AB92" s="60" t="n"/>
      <c r="AC92" s="61" t="n"/>
      <c r="AD92" s="60" t="n"/>
      <c r="AE92" s="62" t="n"/>
      <c r="AF92" s="62" t="n"/>
      <c r="AG92" s="62" t="n"/>
      <c r="AH92" s="60" t="n"/>
      <c r="AI92" s="61" t="n"/>
      <c r="AJ92" s="63">
        <f>IF($A92="","",IF(AF92="","Not Enrolled",IF(TODAY()&gt;AF92,"Review Overdue",IF(AF92-TODAY()&lt;=30,"Review Due Soon","Active"))))</f>
        <v/>
      </c>
      <c r="AK92" s="63">
        <f>IF($A92="","",IF(AG92="","NOT REVIEWED",IF(TODAY()-AG92&gt;90,"OVERDUE",IF(TODAY()-AG92&gt;76,"Due Soon","Current"))))</f>
        <v/>
      </c>
    </row>
    <row r="93" ht="15" customHeight="1" s="39">
      <c r="A93" s="60" t="n"/>
      <c r="B93" s="60" t="n"/>
      <c r="C93" s="61" t="n"/>
      <c r="D93" s="61" t="n"/>
      <c r="E93" s="60" t="n"/>
      <c r="F93" s="60" t="n"/>
      <c r="G93" s="62" t="n"/>
      <c r="H93" s="62" t="n"/>
      <c r="I93" s="62" t="n"/>
      <c r="J93" s="60" t="n"/>
      <c r="K93" s="60" t="n"/>
      <c r="L93" s="60" t="n"/>
      <c r="M93" s="61" t="n"/>
      <c r="N93" s="60" t="n"/>
      <c r="O93" s="60" t="n"/>
      <c r="P93" s="60" t="n"/>
      <c r="Q93" s="60" t="n"/>
      <c r="R93" s="60" t="n"/>
      <c r="S93" s="60" t="n"/>
      <c r="T93" s="60" t="n"/>
      <c r="U93" s="60" t="n"/>
      <c r="V93" s="60" t="n"/>
      <c r="W93" s="60" t="n"/>
      <c r="X93" s="60" t="n"/>
      <c r="Y93" s="63">
        <f>IF($H93="","",TODAY()-$H93)</f>
        <v/>
      </c>
      <c r="Z93" s="63">
        <f>IF($A93="","",IF(AND($F93="Yes",OR($U93="No",$U93="NOT FOUND")),"YES",""))</f>
        <v/>
      </c>
      <c r="AA93" s="66">
        <f>IF($A93="","",TRIM(IF(AND($P93=0,$L93&lt;&gt;"Yes"),"T0-NoSmartcard ","")&amp;IF(AND($J93&lt;&gt;"",$J93&gt;365),"StalePwd ","")&amp;IF($K93="Yes","PwdNeverExpires ","")&amp;IF(AND($S93&lt;&gt;"",$S93&lt;&gt;"None"),"Delegation ","")&amp;IF(AND($Q93=1,$O93="None"),"StaleAdminCount ","")&amp;IF(AND($F93="Yes",$H93=""),"NeverLoggedOn ","")))</f>
        <v/>
      </c>
      <c r="AB93" s="60" t="n"/>
      <c r="AC93" s="61" t="n"/>
      <c r="AD93" s="60" t="n"/>
      <c r="AE93" s="62" t="n"/>
      <c r="AF93" s="62" t="n"/>
      <c r="AG93" s="62" t="n"/>
      <c r="AH93" s="60" t="n"/>
      <c r="AI93" s="61" t="n"/>
      <c r="AJ93" s="63">
        <f>IF($A93="","",IF(AF93="","Not Enrolled",IF(TODAY()&gt;AF93,"Review Overdue",IF(AF93-TODAY()&lt;=30,"Review Due Soon","Active"))))</f>
        <v/>
      </c>
      <c r="AK93" s="63">
        <f>IF($A93="","",IF(AG93="","NOT REVIEWED",IF(TODAY()-AG93&gt;90,"OVERDUE",IF(TODAY()-AG93&gt;76,"Due Soon","Current"))))</f>
        <v/>
      </c>
    </row>
    <row r="94" ht="15" customHeight="1" s="39">
      <c r="A94" s="60" t="n"/>
      <c r="B94" s="60" t="n"/>
      <c r="C94" s="61" t="n"/>
      <c r="D94" s="61" t="n"/>
      <c r="E94" s="60" t="n"/>
      <c r="F94" s="60" t="n"/>
      <c r="G94" s="62" t="n"/>
      <c r="H94" s="62" t="n"/>
      <c r="I94" s="62" t="n"/>
      <c r="J94" s="60" t="n"/>
      <c r="K94" s="60" t="n"/>
      <c r="L94" s="60" t="n"/>
      <c r="M94" s="61" t="n"/>
      <c r="N94" s="60" t="n"/>
      <c r="O94" s="60" t="n"/>
      <c r="P94" s="60" t="n"/>
      <c r="Q94" s="60" t="n"/>
      <c r="R94" s="60" t="n"/>
      <c r="S94" s="60" t="n"/>
      <c r="T94" s="60" t="n"/>
      <c r="U94" s="60" t="n"/>
      <c r="V94" s="60" t="n"/>
      <c r="W94" s="60" t="n"/>
      <c r="X94" s="60" t="n"/>
      <c r="Y94" s="63">
        <f>IF($H94="","",TODAY()-$H94)</f>
        <v/>
      </c>
      <c r="Z94" s="63">
        <f>IF($A94="","",IF(AND($F94="Yes",OR($U94="No",$U94="NOT FOUND")),"YES",""))</f>
        <v/>
      </c>
      <c r="AA94" s="66">
        <f>IF($A94="","",TRIM(IF(AND($P94=0,$L94&lt;&gt;"Yes"),"T0-NoSmartcard ","")&amp;IF(AND($J94&lt;&gt;"",$J94&gt;365),"StalePwd ","")&amp;IF($K94="Yes","PwdNeverExpires ","")&amp;IF(AND($S94&lt;&gt;"",$S94&lt;&gt;"None"),"Delegation ","")&amp;IF(AND($Q94=1,$O94="None"),"StaleAdminCount ","")&amp;IF(AND($F94="Yes",$H94=""),"NeverLoggedOn ","")))</f>
        <v/>
      </c>
      <c r="AB94" s="60" t="n"/>
      <c r="AC94" s="61" t="n"/>
      <c r="AD94" s="60" t="n"/>
      <c r="AE94" s="62" t="n"/>
      <c r="AF94" s="62" t="n"/>
      <c r="AG94" s="62" t="n"/>
      <c r="AH94" s="60" t="n"/>
      <c r="AI94" s="61" t="n"/>
      <c r="AJ94" s="63">
        <f>IF($A94="","",IF(AF94="","Not Enrolled",IF(TODAY()&gt;AF94,"Review Overdue",IF(AF94-TODAY()&lt;=30,"Review Due Soon","Active"))))</f>
        <v/>
      </c>
      <c r="AK94" s="63">
        <f>IF($A94="","",IF(AG94="","NOT REVIEWED",IF(TODAY()-AG94&gt;90,"OVERDUE",IF(TODAY()-AG94&gt;76,"Due Soon","Current"))))</f>
        <v/>
      </c>
    </row>
    <row r="95" ht="15" customHeight="1" s="39">
      <c r="A95" s="60" t="n"/>
      <c r="B95" s="60" t="n"/>
      <c r="C95" s="61" t="n"/>
      <c r="D95" s="61" t="n"/>
      <c r="E95" s="60" t="n"/>
      <c r="F95" s="60" t="n"/>
      <c r="G95" s="62" t="n"/>
      <c r="H95" s="62" t="n"/>
      <c r="I95" s="62" t="n"/>
      <c r="J95" s="60" t="n"/>
      <c r="K95" s="60" t="n"/>
      <c r="L95" s="60" t="n"/>
      <c r="M95" s="61" t="n"/>
      <c r="N95" s="60" t="n"/>
      <c r="O95" s="60" t="n"/>
      <c r="P95" s="60" t="n"/>
      <c r="Q95" s="60" t="n"/>
      <c r="R95" s="60" t="n"/>
      <c r="S95" s="60" t="n"/>
      <c r="T95" s="60" t="n"/>
      <c r="U95" s="60" t="n"/>
      <c r="V95" s="60" t="n"/>
      <c r="W95" s="60" t="n"/>
      <c r="X95" s="60" t="n"/>
      <c r="Y95" s="63">
        <f>IF($H95="","",TODAY()-$H95)</f>
        <v/>
      </c>
      <c r="Z95" s="63">
        <f>IF($A95="","",IF(AND($F95="Yes",OR($U95="No",$U95="NOT FOUND")),"YES",""))</f>
        <v/>
      </c>
      <c r="AA95" s="66">
        <f>IF($A95="","",TRIM(IF(AND($P95=0,$L95&lt;&gt;"Yes"),"T0-NoSmartcard ","")&amp;IF(AND($J95&lt;&gt;"",$J95&gt;365),"StalePwd ","")&amp;IF($K95="Yes","PwdNeverExpires ","")&amp;IF(AND($S95&lt;&gt;"",$S95&lt;&gt;"None"),"Delegation ","")&amp;IF(AND($Q95=1,$O95="None"),"StaleAdminCount ","")&amp;IF(AND($F95="Yes",$H95=""),"NeverLoggedOn ","")))</f>
        <v/>
      </c>
      <c r="AB95" s="60" t="n"/>
      <c r="AC95" s="61" t="n"/>
      <c r="AD95" s="60" t="n"/>
      <c r="AE95" s="62" t="n"/>
      <c r="AF95" s="62" t="n"/>
      <c r="AG95" s="62" t="n"/>
      <c r="AH95" s="60" t="n"/>
      <c r="AI95" s="61" t="n"/>
      <c r="AJ95" s="63">
        <f>IF($A95="","",IF(AF95="","Not Enrolled",IF(TODAY()&gt;AF95,"Review Overdue",IF(AF95-TODAY()&lt;=30,"Review Due Soon","Active"))))</f>
        <v/>
      </c>
      <c r="AK95" s="63">
        <f>IF($A95="","",IF(AG95="","NOT REVIEWED",IF(TODAY()-AG95&gt;90,"OVERDUE",IF(TODAY()-AG95&gt;76,"Due Soon","Current"))))</f>
        <v/>
      </c>
    </row>
    <row r="96" ht="15" customHeight="1" s="39">
      <c r="A96" s="60" t="n"/>
      <c r="B96" s="60" t="n"/>
      <c r="C96" s="61" t="n"/>
      <c r="D96" s="61" t="n"/>
      <c r="E96" s="60" t="n"/>
      <c r="F96" s="60" t="n"/>
      <c r="G96" s="62" t="n"/>
      <c r="H96" s="62" t="n"/>
      <c r="I96" s="62" t="n"/>
      <c r="J96" s="60" t="n"/>
      <c r="K96" s="60" t="n"/>
      <c r="L96" s="60" t="n"/>
      <c r="M96" s="61" t="n"/>
      <c r="N96" s="60" t="n"/>
      <c r="O96" s="60" t="n"/>
      <c r="P96" s="60" t="n"/>
      <c r="Q96" s="60" t="n"/>
      <c r="R96" s="60" t="n"/>
      <c r="S96" s="60" t="n"/>
      <c r="T96" s="60" t="n"/>
      <c r="U96" s="60" t="n"/>
      <c r="V96" s="60" t="n"/>
      <c r="W96" s="60" t="n"/>
      <c r="X96" s="60" t="n"/>
      <c r="Y96" s="63">
        <f>IF($H96="","",TODAY()-$H96)</f>
        <v/>
      </c>
      <c r="Z96" s="63">
        <f>IF($A96="","",IF(AND($F96="Yes",OR($U96="No",$U96="NOT FOUND")),"YES",""))</f>
        <v/>
      </c>
      <c r="AA96" s="66">
        <f>IF($A96="","",TRIM(IF(AND($P96=0,$L96&lt;&gt;"Yes"),"T0-NoSmartcard ","")&amp;IF(AND($J96&lt;&gt;"",$J96&gt;365),"StalePwd ","")&amp;IF($K96="Yes","PwdNeverExpires ","")&amp;IF(AND($S96&lt;&gt;"",$S96&lt;&gt;"None"),"Delegation ","")&amp;IF(AND($Q96=1,$O96="None"),"StaleAdminCount ","")&amp;IF(AND($F96="Yes",$H96=""),"NeverLoggedOn ","")))</f>
        <v/>
      </c>
      <c r="AB96" s="60" t="n"/>
      <c r="AC96" s="61" t="n"/>
      <c r="AD96" s="60" t="n"/>
      <c r="AE96" s="62" t="n"/>
      <c r="AF96" s="62" t="n"/>
      <c r="AG96" s="62" t="n"/>
      <c r="AH96" s="60" t="n"/>
      <c r="AI96" s="61" t="n"/>
      <c r="AJ96" s="63">
        <f>IF($A96="","",IF(AF96="","Not Enrolled",IF(TODAY()&gt;AF96,"Review Overdue",IF(AF96-TODAY()&lt;=30,"Review Due Soon","Active"))))</f>
        <v/>
      </c>
      <c r="AK96" s="63">
        <f>IF($A96="","",IF(AG96="","NOT REVIEWED",IF(TODAY()-AG96&gt;90,"OVERDUE",IF(TODAY()-AG96&gt;76,"Due Soon","Current"))))</f>
        <v/>
      </c>
    </row>
    <row r="97" ht="15" customHeight="1" s="39">
      <c r="A97" s="60" t="n"/>
      <c r="B97" s="60" t="n"/>
      <c r="C97" s="61" t="n"/>
      <c r="D97" s="61" t="n"/>
      <c r="E97" s="60" t="n"/>
      <c r="F97" s="60" t="n"/>
      <c r="G97" s="62" t="n"/>
      <c r="H97" s="62" t="n"/>
      <c r="I97" s="62" t="n"/>
      <c r="J97" s="60" t="n"/>
      <c r="K97" s="60" t="n"/>
      <c r="L97" s="60" t="n"/>
      <c r="M97" s="61" t="n"/>
      <c r="N97" s="60" t="n"/>
      <c r="O97" s="60" t="n"/>
      <c r="P97" s="60" t="n"/>
      <c r="Q97" s="60" t="n"/>
      <c r="R97" s="60" t="n"/>
      <c r="S97" s="60" t="n"/>
      <c r="T97" s="60" t="n"/>
      <c r="U97" s="60" t="n"/>
      <c r="V97" s="60" t="n"/>
      <c r="W97" s="60" t="n"/>
      <c r="X97" s="60" t="n"/>
      <c r="Y97" s="63">
        <f>IF($H97="","",TODAY()-$H97)</f>
        <v/>
      </c>
      <c r="Z97" s="63">
        <f>IF($A97="","",IF(AND($F97="Yes",OR($U97="No",$U97="NOT FOUND")),"YES",""))</f>
        <v/>
      </c>
      <c r="AA97" s="66">
        <f>IF($A97="","",TRIM(IF(AND($P97=0,$L97&lt;&gt;"Yes"),"T0-NoSmartcard ","")&amp;IF(AND($J97&lt;&gt;"",$J97&gt;365),"StalePwd ","")&amp;IF($K97="Yes","PwdNeverExpires ","")&amp;IF(AND($S97&lt;&gt;"",$S97&lt;&gt;"None"),"Delegation ","")&amp;IF(AND($Q97=1,$O97="None"),"StaleAdminCount ","")&amp;IF(AND($F97="Yes",$H97=""),"NeverLoggedOn ","")))</f>
        <v/>
      </c>
      <c r="AB97" s="60" t="n"/>
      <c r="AC97" s="61" t="n"/>
      <c r="AD97" s="60" t="n"/>
      <c r="AE97" s="62" t="n"/>
      <c r="AF97" s="62" t="n"/>
      <c r="AG97" s="62" t="n"/>
      <c r="AH97" s="60" t="n"/>
      <c r="AI97" s="61" t="n"/>
      <c r="AJ97" s="63">
        <f>IF($A97="","",IF(AF97="","Not Enrolled",IF(TODAY()&gt;AF97,"Review Overdue",IF(AF97-TODAY()&lt;=30,"Review Due Soon","Active"))))</f>
        <v/>
      </c>
      <c r="AK97" s="63">
        <f>IF($A97="","",IF(AG97="","NOT REVIEWED",IF(TODAY()-AG97&gt;90,"OVERDUE",IF(TODAY()-AG97&gt;76,"Due Soon","Current"))))</f>
        <v/>
      </c>
    </row>
    <row r="98" ht="15" customHeight="1" s="39">
      <c r="A98" s="60" t="n"/>
      <c r="B98" s="60" t="n"/>
      <c r="C98" s="61" t="n"/>
      <c r="D98" s="61" t="n"/>
      <c r="E98" s="60" t="n"/>
      <c r="F98" s="60" t="n"/>
      <c r="G98" s="62" t="n"/>
      <c r="H98" s="62" t="n"/>
      <c r="I98" s="62" t="n"/>
      <c r="J98" s="60" t="n"/>
      <c r="K98" s="60" t="n"/>
      <c r="L98" s="60" t="n"/>
      <c r="M98" s="61" t="n"/>
      <c r="N98" s="60" t="n"/>
      <c r="O98" s="60" t="n"/>
      <c r="P98" s="60" t="n"/>
      <c r="Q98" s="60" t="n"/>
      <c r="R98" s="60" t="n"/>
      <c r="S98" s="60" t="n"/>
      <c r="T98" s="60" t="n"/>
      <c r="U98" s="60" t="n"/>
      <c r="V98" s="60" t="n"/>
      <c r="W98" s="60" t="n"/>
      <c r="X98" s="60" t="n"/>
      <c r="Y98" s="63">
        <f>IF($H98="","",TODAY()-$H98)</f>
        <v/>
      </c>
      <c r="Z98" s="63">
        <f>IF($A98="","",IF(AND($F98="Yes",OR($U98="No",$U98="NOT FOUND")),"YES",""))</f>
        <v/>
      </c>
      <c r="AA98" s="66">
        <f>IF($A98="","",TRIM(IF(AND($P98=0,$L98&lt;&gt;"Yes"),"T0-NoSmartcard ","")&amp;IF(AND($J98&lt;&gt;"",$J98&gt;365),"StalePwd ","")&amp;IF($K98="Yes","PwdNeverExpires ","")&amp;IF(AND($S98&lt;&gt;"",$S98&lt;&gt;"None"),"Delegation ","")&amp;IF(AND($Q98=1,$O98="None"),"StaleAdminCount ","")&amp;IF(AND($F98="Yes",$H98=""),"NeverLoggedOn ","")))</f>
        <v/>
      </c>
      <c r="AB98" s="60" t="n"/>
      <c r="AC98" s="61" t="n"/>
      <c r="AD98" s="60" t="n"/>
      <c r="AE98" s="62" t="n"/>
      <c r="AF98" s="62" t="n"/>
      <c r="AG98" s="62" t="n"/>
      <c r="AH98" s="60" t="n"/>
      <c r="AI98" s="61" t="n"/>
      <c r="AJ98" s="63">
        <f>IF($A98="","",IF(AF98="","Not Enrolled",IF(TODAY()&gt;AF98,"Review Overdue",IF(AF98-TODAY()&lt;=30,"Review Due Soon","Active"))))</f>
        <v/>
      </c>
      <c r="AK98" s="63">
        <f>IF($A98="","",IF(AG98="","NOT REVIEWED",IF(TODAY()-AG98&gt;90,"OVERDUE",IF(TODAY()-AG98&gt;76,"Due Soon","Current"))))</f>
        <v/>
      </c>
    </row>
    <row r="99" ht="15" customHeight="1" s="39">
      <c r="A99" s="60" t="n"/>
      <c r="B99" s="60" t="n"/>
      <c r="C99" s="61" t="n"/>
      <c r="D99" s="61" t="n"/>
      <c r="E99" s="60" t="n"/>
      <c r="F99" s="60" t="n"/>
      <c r="G99" s="62" t="n"/>
      <c r="H99" s="62" t="n"/>
      <c r="I99" s="62" t="n"/>
      <c r="J99" s="60" t="n"/>
      <c r="K99" s="60" t="n"/>
      <c r="L99" s="60" t="n"/>
      <c r="M99" s="61" t="n"/>
      <c r="N99" s="60" t="n"/>
      <c r="O99" s="60" t="n"/>
      <c r="P99" s="60" t="n"/>
      <c r="Q99" s="60" t="n"/>
      <c r="R99" s="60" t="n"/>
      <c r="S99" s="60" t="n"/>
      <c r="T99" s="60" t="n"/>
      <c r="U99" s="60" t="n"/>
      <c r="V99" s="60" t="n"/>
      <c r="W99" s="60" t="n"/>
      <c r="X99" s="60" t="n"/>
      <c r="Y99" s="63">
        <f>IF($H99="","",TODAY()-$H99)</f>
        <v/>
      </c>
      <c r="Z99" s="63">
        <f>IF($A99="","",IF(AND($F99="Yes",OR($U99="No",$U99="NOT FOUND")),"YES",""))</f>
        <v/>
      </c>
      <c r="AA99" s="66">
        <f>IF($A99="","",TRIM(IF(AND($P99=0,$L99&lt;&gt;"Yes"),"T0-NoSmartcard ","")&amp;IF(AND($J99&lt;&gt;"",$J99&gt;365),"StalePwd ","")&amp;IF($K99="Yes","PwdNeverExpires ","")&amp;IF(AND($S99&lt;&gt;"",$S99&lt;&gt;"None"),"Delegation ","")&amp;IF(AND($Q99=1,$O99="None"),"StaleAdminCount ","")&amp;IF(AND($F99="Yes",$H99=""),"NeverLoggedOn ","")))</f>
        <v/>
      </c>
      <c r="AB99" s="60" t="n"/>
      <c r="AC99" s="61" t="n"/>
      <c r="AD99" s="60" t="n"/>
      <c r="AE99" s="62" t="n"/>
      <c r="AF99" s="62" t="n"/>
      <c r="AG99" s="62" t="n"/>
      <c r="AH99" s="60" t="n"/>
      <c r="AI99" s="61" t="n"/>
      <c r="AJ99" s="63">
        <f>IF($A99="","",IF(AF99="","Not Enrolled",IF(TODAY()&gt;AF99,"Review Overdue",IF(AF99-TODAY()&lt;=30,"Review Due Soon","Active"))))</f>
        <v/>
      </c>
      <c r="AK99" s="63">
        <f>IF($A99="","",IF(AG99="","NOT REVIEWED",IF(TODAY()-AG99&gt;90,"OVERDUE",IF(TODAY()-AG99&gt;76,"Due Soon","Current"))))</f>
        <v/>
      </c>
    </row>
    <row r="100" ht="15" customHeight="1" s="39">
      <c r="A100" s="60" t="n"/>
      <c r="B100" s="60" t="n"/>
      <c r="C100" s="61" t="n"/>
      <c r="D100" s="61" t="n"/>
      <c r="E100" s="60" t="n"/>
      <c r="F100" s="60" t="n"/>
      <c r="G100" s="62" t="n"/>
      <c r="H100" s="62" t="n"/>
      <c r="I100" s="62" t="n"/>
      <c r="J100" s="60" t="n"/>
      <c r="K100" s="60" t="n"/>
      <c r="L100" s="60" t="n"/>
      <c r="M100" s="61" t="n"/>
      <c r="N100" s="60" t="n"/>
      <c r="O100" s="60" t="n"/>
      <c r="P100" s="60" t="n"/>
      <c r="Q100" s="60" t="n"/>
      <c r="R100" s="60" t="n"/>
      <c r="S100" s="60" t="n"/>
      <c r="T100" s="60" t="n"/>
      <c r="U100" s="60" t="n"/>
      <c r="V100" s="60" t="n"/>
      <c r="W100" s="60" t="n"/>
      <c r="X100" s="60" t="n"/>
      <c r="Y100" s="63">
        <f>IF($H100="","",TODAY()-$H100)</f>
        <v/>
      </c>
      <c r="Z100" s="63">
        <f>IF($A100="","",IF(AND($F100="Yes",OR($U100="No",$U100="NOT FOUND")),"YES",""))</f>
        <v/>
      </c>
      <c r="AA100" s="66">
        <f>IF($A100="","",TRIM(IF(AND($P100=0,$L100&lt;&gt;"Yes"),"T0-NoSmartcard ","")&amp;IF(AND($J100&lt;&gt;"",$J100&gt;365),"StalePwd ","")&amp;IF($K100="Yes","PwdNeverExpires ","")&amp;IF(AND($S100&lt;&gt;"",$S100&lt;&gt;"None"),"Delegation ","")&amp;IF(AND($Q100=1,$O100="None"),"StaleAdminCount ","")&amp;IF(AND($F100="Yes",$H100=""),"NeverLoggedOn ","")))</f>
        <v/>
      </c>
      <c r="AB100" s="60" t="n"/>
      <c r="AC100" s="61" t="n"/>
      <c r="AD100" s="60" t="n"/>
      <c r="AE100" s="62" t="n"/>
      <c r="AF100" s="62" t="n"/>
      <c r="AG100" s="62" t="n"/>
      <c r="AH100" s="60" t="n"/>
      <c r="AI100" s="61" t="n"/>
      <c r="AJ100" s="63">
        <f>IF($A100="","",IF(AF100="","Not Enrolled",IF(TODAY()&gt;AF100,"Review Overdue",IF(AF100-TODAY()&lt;=30,"Review Due Soon","Active"))))</f>
        <v/>
      </c>
      <c r="AK100" s="63">
        <f>IF($A100="","",IF(AG100="","NOT REVIEWED",IF(TODAY()-AG100&gt;90,"OVERDUE",IF(TODAY()-AG100&gt;76,"Due Soon","Current"))))</f>
        <v/>
      </c>
    </row>
    <row r="101" ht="15" customHeight="1" s="39">
      <c r="A101" s="60" t="n"/>
      <c r="B101" s="60" t="n"/>
      <c r="C101" s="61" t="n"/>
      <c r="D101" s="61" t="n"/>
      <c r="E101" s="60" t="n"/>
      <c r="F101" s="60" t="n"/>
      <c r="G101" s="62" t="n"/>
      <c r="H101" s="62" t="n"/>
      <c r="I101" s="62" t="n"/>
      <c r="J101" s="60" t="n"/>
      <c r="K101" s="60" t="n"/>
      <c r="L101" s="60" t="n"/>
      <c r="M101" s="61" t="n"/>
      <c r="N101" s="60" t="n"/>
      <c r="O101" s="60" t="n"/>
      <c r="P101" s="60" t="n"/>
      <c r="Q101" s="60" t="n"/>
      <c r="R101" s="60" t="n"/>
      <c r="S101" s="60" t="n"/>
      <c r="T101" s="60" t="n"/>
      <c r="U101" s="60" t="n"/>
      <c r="V101" s="60" t="n"/>
      <c r="W101" s="60" t="n"/>
      <c r="X101" s="60" t="n"/>
      <c r="Y101" s="63">
        <f>IF($H101="","",TODAY()-$H101)</f>
        <v/>
      </c>
      <c r="Z101" s="63">
        <f>IF($A101="","",IF(AND($F101="Yes",OR($U101="No",$U101="NOT FOUND")),"YES",""))</f>
        <v/>
      </c>
      <c r="AA101" s="66">
        <f>IF($A101="","",TRIM(IF(AND($P101=0,$L101&lt;&gt;"Yes"),"T0-NoSmartcard ","")&amp;IF(AND($J101&lt;&gt;"",$J101&gt;365),"StalePwd ","")&amp;IF($K101="Yes","PwdNeverExpires ","")&amp;IF(AND($S101&lt;&gt;"",$S101&lt;&gt;"None"),"Delegation ","")&amp;IF(AND($Q101=1,$O101="None"),"StaleAdminCount ","")&amp;IF(AND($F101="Yes",$H101=""),"NeverLoggedOn ","")))</f>
        <v/>
      </c>
      <c r="AB101" s="60" t="n"/>
      <c r="AC101" s="61" t="n"/>
      <c r="AD101" s="60" t="n"/>
      <c r="AE101" s="62" t="n"/>
      <c r="AF101" s="62" t="n"/>
      <c r="AG101" s="62" t="n"/>
      <c r="AH101" s="60" t="n"/>
      <c r="AI101" s="61" t="n"/>
      <c r="AJ101" s="63">
        <f>IF($A101="","",IF(AF101="","Not Enrolled",IF(TODAY()&gt;AF101,"Review Overdue",IF(AF101-TODAY()&lt;=30,"Review Due Soon","Active"))))</f>
        <v/>
      </c>
      <c r="AK101" s="63">
        <f>IF($A101="","",IF(AG101="","NOT REVIEWED",IF(TODAY()-AG101&gt;90,"OVERDUE",IF(TODAY()-AG101&gt;76,"Due Soon","Current"))))</f>
        <v/>
      </c>
    </row>
    <row r="102" ht="15" customHeight="1" s="39">
      <c r="A102" s="60" t="n"/>
      <c r="B102" s="60" t="n"/>
      <c r="C102" s="61" t="n"/>
      <c r="D102" s="61" t="n"/>
      <c r="E102" s="60" t="n"/>
      <c r="F102" s="60" t="n"/>
      <c r="G102" s="62" t="n"/>
      <c r="H102" s="62" t="n"/>
      <c r="I102" s="62" t="n"/>
      <c r="J102" s="60" t="n"/>
      <c r="K102" s="60" t="n"/>
      <c r="L102" s="60" t="n"/>
      <c r="M102" s="61" t="n"/>
      <c r="N102" s="60" t="n"/>
      <c r="O102" s="60" t="n"/>
      <c r="P102" s="60" t="n"/>
      <c r="Q102" s="60" t="n"/>
      <c r="R102" s="60" t="n"/>
      <c r="S102" s="60" t="n"/>
      <c r="T102" s="60" t="n"/>
      <c r="U102" s="60" t="n"/>
      <c r="V102" s="60" t="n"/>
      <c r="W102" s="60" t="n"/>
      <c r="X102" s="60" t="n"/>
      <c r="Y102" s="63">
        <f>IF($H102="","",TODAY()-$H102)</f>
        <v/>
      </c>
      <c r="Z102" s="63">
        <f>IF($A102="","",IF(AND($F102="Yes",OR($U102="No",$U102="NOT FOUND")),"YES",""))</f>
        <v/>
      </c>
      <c r="AA102" s="66">
        <f>IF($A102="","",TRIM(IF(AND($P102=0,$L102&lt;&gt;"Yes"),"T0-NoSmartcard ","")&amp;IF(AND($J102&lt;&gt;"",$J102&gt;365),"StalePwd ","")&amp;IF($K102="Yes","PwdNeverExpires ","")&amp;IF(AND($S102&lt;&gt;"",$S102&lt;&gt;"None"),"Delegation ","")&amp;IF(AND($Q102=1,$O102="None"),"StaleAdminCount ","")&amp;IF(AND($F102="Yes",$H102=""),"NeverLoggedOn ","")))</f>
        <v/>
      </c>
      <c r="AB102" s="60" t="n"/>
      <c r="AC102" s="61" t="n"/>
      <c r="AD102" s="60" t="n"/>
      <c r="AE102" s="62" t="n"/>
      <c r="AF102" s="62" t="n"/>
      <c r="AG102" s="62" t="n"/>
      <c r="AH102" s="60" t="n"/>
      <c r="AI102" s="61" t="n"/>
      <c r="AJ102" s="63">
        <f>IF($A102="","",IF(AF102="","Not Enrolled",IF(TODAY()&gt;AF102,"Review Overdue",IF(AF102-TODAY()&lt;=30,"Review Due Soon","Active"))))</f>
        <v/>
      </c>
      <c r="AK102" s="63">
        <f>IF($A102="","",IF(AG102="","NOT REVIEWED",IF(TODAY()-AG102&gt;90,"OVERDUE",IF(TODAY()-AG102&gt;76,"Due Soon","Current"))))</f>
        <v/>
      </c>
    </row>
    <row r="103" ht="15" customHeight="1" s="39">
      <c r="A103" s="60" t="n"/>
      <c r="B103" s="60" t="n"/>
      <c r="C103" s="61" t="n"/>
      <c r="D103" s="61" t="n"/>
      <c r="E103" s="60" t="n"/>
      <c r="F103" s="60" t="n"/>
      <c r="G103" s="62" t="n"/>
      <c r="H103" s="62" t="n"/>
      <c r="I103" s="62" t="n"/>
      <c r="J103" s="60" t="n"/>
      <c r="K103" s="60" t="n"/>
      <c r="L103" s="60" t="n"/>
      <c r="M103" s="61" t="n"/>
      <c r="N103" s="60" t="n"/>
      <c r="O103" s="60" t="n"/>
      <c r="P103" s="60" t="n"/>
      <c r="Q103" s="60" t="n"/>
      <c r="R103" s="60" t="n"/>
      <c r="S103" s="60" t="n"/>
      <c r="T103" s="60" t="n"/>
      <c r="U103" s="60" t="n"/>
      <c r="V103" s="60" t="n"/>
      <c r="W103" s="60" t="n"/>
      <c r="X103" s="60" t="n"/>
      <c r="Y103" s="63">
        <f>IF($H103="","",TODAY()-$H103)</f>
        <v/>
      </c>
      <c r="Z103" s="63">
        <f>IF($A103="","",IF(AND($F103="Yes",OR($U103="No",$U103="NOT FOUND")),"YES",""))</f>
        <v/>
      </c>
      <c r="AA103" s="66">
        <f>IF($A103="","",TRIM(IF(AND($P103=0,$L103&lt;&gt;"Yes"),"T0-NoSmartcard ","")&amp;IF(AND($J103&lt;&gt;"",$J103&gt;365),"StalePwd ","")&amp;IF($K103="Yes","PwdNeverExpires ","")&amp;IF(AND($S103&lt;&gt;"",$S103&lt;&gt;"None"),"Delegation ","")&amp;IF(AND($Q103=1,$O103="None"),"StaleAdminCount ","")&amp;IF(AND($F103="Yes",$H103=""),"NeverLoggedOn ","")))</f>
        <v/>
      </c>
      <c r="AB103" s="60" t="n"/>
      <c r="AC103" s="61" t="n"/>
      <c r="AD103" s="60" t="n"/>
      <c r="AE103" s="62" t="n"/>
      <c r="AF103" s="62" t="n"/>
      <c r="AG103" s="62" t="n"/>
      <c r="AH103" s="60" t="n"/>
      <c r="AI103" s="61" t="n"/>
      <c r="AJ103" s="63">
        <f>IF($A103="","",IF(AF103="","Not Enrolled",IF(TODAY()&gt;AF103,"Review Overdue",IF(AF103-TODAY()&lt;=30,"Review Due Soon","Active"))))</f>
        <v/>
      </c>
      <c r="AK103" s="63">
        <f>IF($A103="","",IF(AG103="","NOT REVIEWED",IF(TODAY()-AG103&gt;90,"OVERDUE",IF(TODAY()-AG103&gt;76,"Due Soon","Current"))))</f>
        <v/>
      </c>
    </row>
    <row r="104" ht="15" customHeight="1" s="39">
      <c r="A104" s="60" t="n"/>
      <c r="B104" s="60" t="n"/>
      <c r="C104" s="61" t="n"/>
      <c r="D104" s="61" t="n"/>
      <c r="E104" s="60" t="n"/>
      <c r="F104" s="60" t="n"/>
      <c r="G104" s="62" t="n"/>
      <c r="H104" s="62" t="n"/>
      <c r="I104" s="62" t="n"/>
      <c r="J104" s="60" t="n"/>
      <c r="K104" s="60" t="n"/>
      <c r="L104" s="60" t="n"/>
      <c r="M104" s="61" t="n"/>
      <c r="N104" s="60" t="n"/>
      <c r="O104" s="60" t="n"/>
      <c r="P104" s="60" t="n"/>
      <c r="Q104" s="60" t="n"/>
      <c r="R104" s="60" t="n"/>
      <c r="S104" s="60" t="n"/>
      <c r="T104" s="60" t="n"/>
      <c r="U104" s="60" t="n"/>
      <c r="V104" s="60" t="n"/>
      <c r="W104" s="60" t="n"/>
      <c r="X104" s="60" t="n"/>
      <c r="Y104" s="63">
        <f>IF($H104="","",TODAY()-$H104)</f>
        <v/>
      </c>
      <c r="Z104" s="63">
        <f>IF($A104="","",IF(AND($F104="Yes",OR($U104="No",$U104="NOT FOUND")),"YES",""))</f>
        <v/>
      </c>
      <c r="AA104" s="66">
        <f>IF($A104="","",TRIM(IF(AND($P104=0,$L104&lt;&gt;"Yes"),"T0-NoSmartcard ","")&amp;IF(AND($J104&lt;&gt;"",$J104&gt;365),"StalePwd ","")&amp;IF($K104="Yes","PwdNeverExpires ","")&amp;IF(AND($S104&lt;&gt;"",$S104&lt;&gt;"None"),"Delegation ","")&amp;IF(AND($Q104=1,$O104="None"),"StaleAdminCount ","")&amp;IF(AND($F104="Yes",$H104=""),"NeverLoggedOn ","")))</f>
        <v/>
      </c>
      <c r="AB104" s="60" t="n"/>
      <c r="AC104" s="61" t="n"/>
      <c r="AD104" s="60" t="n"/>
      <c r="AE104" s="62" t="n"/>
      <c r="AF104" s="62" t="n"/>
      <c r="AG104" s="62" t="n"/>
      <c r="AH104" s="60" t="n"/>
      <c r="AI104" s="61" t="n"/>
      <c r="AJ104" s="63">
        <f>IF($A104="","",IF(AF104="","Not Enrolled",IF(TODAY()&gt;AF104,"Review Overdue",IF(AF104-TODAY()&lt;=30,"Review Due Soon","Active"))))</f>
        <v/>
      </c>
      <c r="AK104" s="63">
        <f>IF($A104="","",IF(AG104="","NOT REVIEWED",IF(TODAY()-AG104&gt;90,"OVERDUE",IF(TODAY()-AG104&gt;76,"Due Soon","Current"))))</f>
        <v/>
      </c>
    </row>
    <row r="105" ht="15" customHeight="1" s="39">
      <c r="A105" s="60" t="n"/>
      <c r="B105" s="60" t="n"/>
      <c r="C105" s="61" t="n"/>
      <c r="D105" s="61" t="n"/>
      <c r="E105" s="60" t="n"/>
      <c r="F105" s="60" t="n"/>
      <c r="G105" s="62" t="n"/>
      <c r="H105" s="62" t="n"/>
      <c r="I105" s="62" t="n"/>
      <c r="J105" s="60" t="n"/>
      <c r="K105" s="60" t="n"/>
      <c r="L105" s="60" t="n"/>
      <c r="M105" s="61" t="n"/>
      <c r="N105" s="60" t="n"/>
      <c r="O105" s="60" t="n"/>
      <c r="P105" s="60" t="n"/>
      <c r="Q105" s="60" t="n"/>
      <c r="R105" s="60" t="n"/>
      <c r="S105" s="60" t="n"/>
      <c r="T105" s="60" t="n"/>
      <c r="U105" s="60" t="n"/>
      <c r="V105" s="60" t="n"/>
      <c r="W105" s="60" t="n"/>
      <c r="X105" s="60" t="n"/>
      <c r="Y105" s="63">
        <f>IF($H105="","",TODAY()-$H105)</f>
        <v/>
      </c>
      <c r="Z105" s="63">
        <f>IF($A105="","",IF(AND($F105="Yes",OR($U105="No",$U105="NOT FOUND")),"YES",""))</f>
        <v/>
      </c>
      <c r="AA105" s="66">
        <f>IF($A105="","",TRIM(IF(AND($P105=0,$L105&lt;&gt;"Yes"),"T0-NoSmartcard ","")&amp;IF(AND($J105&lt;&gt;"",$J105&gt;365),"StalePwd ","")&amp;IF($K105="Yes","PwdNeverExpires ","")&amp;IF(AND($S105&lt;&gt;"",$S105&lt;&gt;"None"),"Delegation ","")&amp;IF(AND($Q105=1,$O105="None"),"StaleAdminCount ","")&amp;IF(AND($F105="Yes",$H105=""),"NeverLoggedOn ","")))</f>
        <v/>
      </c>
      <c r="AB105" s="60" t="n"/>
      <c r="AC105" s="61" t="n"/>
      <c r="AD105" s="60" t="n"/>
      <c r="AE105" s="62" t="n"/>
      <c r="AF105" s="62" t="n"/>
      <c r="AG105" s="62" t="n"/>
      <c r="AH105" s="60" t="n"/>
      <c r="AI105" s="61" t="n"/>
      <c r="AJ105" s="63">
        <f>IF($A105="","",IF(AF105="","Not Enrolled",IF(TODAY()&gt;AF105,"Review Overdue",IF(AF105-TODAY()&lt;=30,"Review Due Soon","Active"))))</f>
        <v/>
      </c>
      <c r="AK105" s="63">
        <f>IF($A105="","",IF(AG105="","NOT REVIEWED",IF(TODAY()-AG105&gt;90,"OVERDUE",IF(TODAY()-AG105&gt;76,"Due Soon","Current"))))</f>
        <v/>
      </c>
    </row>
    <row r="106" ht="15" customHeight="1" s="39">
      <c r="A106" s="60" t="n"/>
      <c r="B106" s="60" t="n"/>
      <c r="C106" s="61" t="n"/>
      <c r="D106" s="61" t="n"/>
      <c r="E106" s="60" t="n"/>
      <c r="F106" s="60" t="n"/>
      <c r="G106" s="62" t="n"/>
      <c r="H106" s="62" t="n"/>
      <c r="I106" s="62" t="n"/>
      <c r="J106" s="60" t="n"/>
      <c r="K106" s="60" t="n"/>
      <c r="L106" s="60" t="n"/>
      <c r="M106" s="61" t="n"/>
      <c r="N106" s="60" t="n"/>
      <c r="O106" s="60" t="n"/>
      <c r="P106" s="60" t="n"/>
      <c r="Q106" s="60" t="n"/>
      <c r="R106" s="60" t="n"/>
      <c r="S106" s="60" t="n"/>
      <c r="T106" s="60" t="n"/>
      <c r="U106" s="60" t="n"/>
      <c r="V106" s="60" t="n"/>
      <c r="W106" s="60" t="n"/>
      <c r="X106" s="60" t="n"/>
      <c r="Y106" s="63">
        <f>IF($H106="","",TODAY()-$H106)</f>
        <v/>
      </c>
      <c r="Z106" s="63">
        <f>IF($A106="","",IF(AND($F106="Yes",OR($U106="No",$U106="NOT FOUND")),"YES",""))</f>
        <v/>
      </c>
      <c r="AA106" s="66">
        <f>IF($A106="","",TRIM(IF(AND($P106=0,$L106&lt;&gt;"Yes"),"T0-NoSmartcard ","")&amp;IF(AND($J106&lt;&gt;"",$J106&gt;365),"StalePwd ","")&amp;IF($K106="Yes","PwdNeverExpires ","")&amp;IF(AND($S106&lt;&gt;"",$S106&lt;&gt;"None"),"Delegation ","")&amp;IF(AND($Q106=1,$O106="None"),"StaleAdminCount ","")&amp;IF(AND($F106="Yes",$H106=""),"NeverLoggedOn ","")))</f>
        <v/>
      </c>
      <c r="AB106" s="60" t="n"/>
      <c r="AC106" s="61" t="n"/>
      <c r="AD106" s="60" t="n"/>
      <c r="AE106" s="62" t="n"/>
      <c r="AF106" s="62" t="n"/>
      <c r="AG106" s="62" t="n"/>
      <c r="AH106" s="60" t="n"/>
      <c r="AI106" s="61" t="n"/>
      <c r="AJ106" s="63">
        <f>IF($A106="","",IF(AF106="","Not Enrolled",IF(TODAY()&gt;AF106,"Review Overdue",IF(AF106-TODAY()&lt;=30,"Review Due Soon","Active"))))</f>
        <v/>
      </c>
      <c r="AK106" s="63">
        <f>IF($A106="","",IF(AG106="","NOT REVIEWED",IF(TODAY()-AG106&gt;90,"OVERDUE",IF(TODAY()-AG106&gt;76,"Due Soon","Current"))))</f>
        <v/>
      </c>
    </row>
    <row r="107" ht="15" customHeight="1" s="39">
      <c r="A107" s="60" t="n"/>
      <c r="B107" s="60" t="n"/>
      <c r="C107" s="61" t="n"/>
      <c r="D107" s="61" t="n"/>
      <c r="E107" s="60" t="n"/>
      <c r="F107" s="60" t="n"/>
      <c r="G107" s="62" t="n"/>
      <c r="H107" s="62" t="n"/>
      <c r="I107" s="62" t="n"/>
      <c r="J107" s="60" t="n"/>
      <c r="K107" s="60" t="n"/>
      <c r="L107" s="60" t="n"/>
      <c r="M107" s="61" t="n"/>
      <c r="N107" s="60" t="n"/>
      <c r="O107" s="60" t="n"/>
      <c r="P107" s="60" t="n"/>
      <c r="Q107" s="60" t="n"/>
      <c r="R107" s="60" t="n"/>
      <c r="S107" s="60" t="n"/>
      <c r="T107" s="60" t="n"/>
      <c r="U107" s="60" t="n"/>
      <c r="V107" s="60" t="n"/>
      <c r="W107" s="60" t="n"/>
      <c r="X107" s="60" t="n"/>
      <c r="Y107" s="63">
        <f>IF($H107="","",TODAY()-$H107)</f>
        <v/>
      </c>
      <c r="Z107" s="63">
        <f>IF($A107="","",IF(AND($F107="Yes",OR($U107="No",$U107="NOT FOUND")),"YES",""))</f>
        <v/>
      </c>
      <c r="AA107" s="66">
        <f>IF($A107="","",TRIM(IF(AND($P107=0,$L107&lt;&gt;"Yes"),"T0-NoSmartcard ","")&amp;IF(AND($J107&lt;&gt;"",$J107&gt;365),"StalePwd ","")&amp;IF($K107="Yes","PwdNeverExpires ","")&amp;IF(AND($S107&lt;&gt;"",$S107&lt;&gt;"None"),"Delegation ","")&amp;IF(AND($Q107=1,$O107="None"),"StaleAdminCount ","")&amp;IF(AND($F107="Yes",$H107=""),"NeverLoggedOn ","")))</f>
        <v/>
      </c>
      <c r="AB107" s="60" t="n"/>
      <c r="AC107" s="61" t="n"/>
      <c r="AD107" s="60" t="n"/>
      <c r="AE107" s="62" t="n"/>
      <c r="AF107" s="62" t="n"/>
      <c r="AG107" s="62" t="n"/>
      <c r="AH107" s="60" t="n"/>
      <c r="AI107" s="61" t="n"/>
      <c r="AJ107" s="63">
        <f>IF($A107="","",IF(AF107="","Not Enrolled",IF(TODAY()&gt;AF107,"Review Overdue",IF(AF107-TODAY()&lt;=30,"Review Due Soon","Active"))))</f>
        <v/>
      </c>
      <c r="AK107" s="63">
        <f>IF($A107="","",IF(AG107="","NOT REVIEWED",IF(TODAY()-AG107&gt;90,"OVERDUE",IF(TODAY()-AG107&gt;76,"Due Soon","Current"))))</f>
        <v/>
      </c>
    </row>
    <row r="108" ht="15" customHeight="1" s="39">
      <c r="A108" s="60" t="n"/>
      <c r="B108" s="60" t="n"/>
      <c r="C108" s="61" t="n"/>
      <c r="D108" s="61" t="n"/>
      <c r="E108" s="60" t="n"/>
      <c r="F108" s="60" t="n"/>
      <c r="G108" s="62" t="n"/>
      <c r="H108" s="62" t="n"/>
      <c r="I108" s="62" t="n"/>
      <c r="J108" s="60" t="n"/>
      <c r="K108" s="60" t="n"/>
      <c r="L108" s="60" t="n"/>
      <c r="M108" s="61" t="n"/>
      <c r="N108" s="60" t="n"/>
      <c r="O108" s="60" t="n"/>
      <c r="P108" s="60" t="n"/>
      <c r="Q108" s="60" t="n"/>
      <c r="R108" s="60" t="n"/>
      <c r="S108" s="60" t="n"/>
      <c r="T108" s="60" t="n"/>
      <c r="U108" s="60" t="n"/>
      <c r="V108" s="60" t="n"/>
      <c r="W108" s="60" t="n"/>
      <c r="X108" s="60" t="n"/>
      <c r="Y108" s="63">
        <f>IF($H108="","",TODAY()-$H108)</f>
        <v/>
      </c>
      <c r="Z108" s="63">
        <f>IF($A108="","",IF(AND($F108="Yes",OR($U108="No",$U108="NOT FOUND")),"YES",""))</f>
        <v/>
      </c>
      <c r="AA108" s="66">
        <f>IF($A108="","",TRIM(IF(AND($P108=0,$L108&lt;&gt;"Yes"),"T0-NoSmartcard ","")&amp;IF(AND($J108&lt;&gt;"",$J108&gt;365),"StalePwd ","")&amp;IF($K108="Yes","PwdNeverExpires ","")&amp;IF(AND($S108&lt;&gt;"",$S108&lt;&gt;"None"),"Delegation ","")&amp;IF(AND($Q108=1,$O108="None"),"StaleAdminCount ","")&amp;IF(AND($F108="Yes",$H108=""),"NeverLoggedOn ","")))</f>
        <v/>
      </c>
      <c r="AB108" s="60" t="n"/>
      <c r="AC108" s="61" t="n"/>
      <c r="AD108" s="60" t="n"/>
      <c r="AE108" s="62" t="n"/>
      <c r="AF108" s="62" t="n"/>
      <c r="AG108" s="62" t="n"/>
      <c r="AH108" s="60" t="n"/>
      <c r="AI108" s="61" t="n"/>
      <c r="AJ108" s="63">
        <f>IF($A108="","",IF(AF108="","Not Enrolled",IF(TODAY()&gt;AF108,"Review Overdue",IF(AF108-TODAY()&lt;=30,"Review Due Soon","Active"))))</f>
        <v/>
      </c>
      <c r="AK108" s="63">
        <f>IF($A108="","",IF(AG108="","NOT REVIEWED",IF(TODAY()-AG108&gt;90,"OVERDUE",IF(TODAY()-AG108&gt;76,"Due Soon","Current"))))</f>
        <v/>
      </c>
    </row>
    <row r="109" ht="15" customHeight="1" s="39">
      <c r="A109" s="60" t="n"/>
      <c r="B109" s="60" t="n"/>
      <c r="C109" s="61" t="n"/>
      <c r="D109" s="61" t="n"/>
      <c r="E109" s="60" t="n"/>
      <c r="F109" s="60" t="n"/>
      <c r="G109" s="62" t="n"/>
      <c r="H109" s="62" t="n"/>
      <c r="I109" s="62" t="n"/>
      <c r="J109" s="60" t="n"/>
      <c r="K109" s="60" t="n"/>
      <c r="L109" s="60" t="n"/>
      <c r="M109" s="61" t="n"/>
      <c r="N109" s="60" t="n"/>
      <c r="O109" s="60" t="n"/>
      <c r="P109" s="60" t="n"/>
      <c r="Q109" s="60" t="n"/>
      <c r="R109" s="60" t="n"/>
      <c r="S109" s="60" t="n"/>
      <c r="T109" s="60" t="n"/>
      <c r="U109" s="60" t="n"/>
      <c r="V109" s="60" t="n"/>
      <c r="W109" s="60" t="n"/>
      <c r="X109" s="60" t="n"/>
      <c r="Y109" s="63">
        <f>IF($H109="","",TODAY()-$H109)</f>
        <v/>
      </c>
      <c r="Z109" s="63">
        <f>IF($A109="","",IF(AND($F109="Yes",OR($U109="No",$U109="NOT FOUND")),"YES",""))</f>
        <v/>
      </c>
      <c r="AA109" s="66">
        <f>IF($A109="","",TRIM(IF(AND($P109=0,$L109&lt;&gt;"Yes"),"T0-NoSmartcard ","")&amp;IF(AND($J109&lt;&gt;"",$J109&gt;365),"StalePwd ","")&amp;IF($K109="Yes","PwdNeverExpires ","")&amp;IF(AND($S109&lt;&gt;"",$S109&lt;&gt;"None"),"Delegation ","")&amp;IF(AND($Q109=1,$O109="None"),"StaleAdminCount ","")&amp;IF(AND($F109="Yes",$H109=""),"NeverLoggedOn ","")))</f>
        <v/>
      </c>
      <c r="AB109" s="60" t="n"/>
      <c r="AC109" s="61" t="n"/>
      <c r="AD109" s="60" t="n"/>
      <c r="AE109" s="62" t="n"/>
      <c r="AF109" s="62" t="n"/>
      <c r="AG109" s="62" t="n"/>
      <c r="AH109" s="60" t="n"/>
      <c r="AI109" s="61" t="n"/>
      <c r="AJ109" s="63">
        <f>IF($A109="","",IF(AF109="","Not Enrolled",IF(TODAY()&gt;AF109,"Review Overdue",IF(AF109-TODAY()&lt;=30,"Review Due Soon","Active"))))</f>
        <v/>
      </c>
      <c r="AK109" s="63">
        <f>IF($A109="","",IF(AG109="","NOT REVIEWED",IF(TODAY()-AG109&gt;90,"OVERDUE",IF(TODAY()-AG109&gt;76,"Due Soon","Current"))))</f>
        <v/>
      </c>
    </row>
    <row r="110" ht="15" customHeight="1" s="39">
      <c r="A110" s="60" t="n"/>
      <c r="B110" s="60" t="n"/>
      <c r="C110" s="61" t="n"/>
      <c r="D110" s="61" t="n"/>
      <c r="E110" s="60" t="n"/>
      <c r="F110" s="60" t="n"/>
      <c r="G110" s="62" t="n"/>
      <c r="H110" s="62" t="n"/>
      <c r="I110" s="62" t="n"/>
      <c r="J110" s="60" t="n"/>
      <c r="K110" s="60" t="n"/>
      <c r="L110" s="60" t="n"/>
      <c r="M110" s="61" t="n"/>
      <c r="N110" s="60" t="n"/>
      <c r="O110" s="60" t="n"/>
      <c r="P110" s="60" t="n"/>
      <c r="Q110" s="60" t="n"/>
      <c r="R110" s="60" t="n"/>
      <c r="S110" s="60" t="n"/>
      <c r="T110" s="60" t="n"/>
      <c r="U110" s="60" t="n"/>
      <c r="V110" s="60" t="n"/>
      <c r="W110" s="60" t="n"/>
      <c r="X110" s="60" t="n"/>
      <c r="Y110" s="63">
        <f>IF($H110="","",TODAY()-$H110)</f>
        <v/>
      </c>
      <c r="Z110" s="63">
        <f>IF($A110="","",IF(AND($F110="Yes",OR($U110="No",$U110="NOT FOUND")),"YES",""))</f>
        <v/>
      </c>
      <c r="AA110" s="66">
        <f>IF($A110="","",TRIM(IF(AND($P110=0,$L110&lt;&gt;"Yes"),"T0-NoSmartcard ","")&amp;IF(AND($J110&lt;&gt;"",$J110&gt;365),"StalePwd ","")&amp;IF($K110="Yes","PwdNeverExpires ","")&amp;IF(AND($S110&lt;&gt;"",$S110&lt;&gt;"None"),"Delegation ","")&amp;IF(AND($Q110=1,$O110="None"),"StaleAdminCount ","")&amp;IF(AND($F110="Yes",$H110=""),"NeverLoggedOn ","")))</f>
        <v/>
      </c>
      <c r="AB110" s="60" t="n"/>
      <c r="AC110" s="61" t="n"/>
      <c r="AD110" s="60" t="n"/>
      <c r="AE110" s="62" t="n"/>
      <c r="AF110" s="62" t="n"/>
      <c r="AG110" s="62" t="n"/>
      <c r="AH110" s="60" t="n"/>
      <c r="AI110" s="61" t="n"/>
      <c r="AJ110" s="63">
        <f>IF($A110="","",IF(AF110="","Not Enrolled",IF(TODAY()&gt;AF110,"Review Overdue",IF(AF110-TODAY()&lt;=30,"Review Due Soon","Active"))))</f>
        <v/>
      </c>
      <c r="AK110" s="63">
        <f>IF($A110="","",IF(AG110="","NOT REVIEWED",IF(TODAY()-AG110&gt;90,"OVERDUE",IF(TODAY()-AG110&gt;76,"Due Soon","Current"))))</f>
        <v/>
      </c>
    </row>
    <row r="111" ht="15" customHeight="1" s="39">
      <c r="A111" s="60" t="n"/>
      <c r="B111" s="60" t="n"/>
      <c r="C111" s="61" t="n"/>
      <c r="D111" s="61" t="n"/>
      <c r="E111" s="60" t="n"/>
      <c r="F111" s="60" t="n"/>
      <c r="G111" s="62" t="n"/>
      <c r="H111" s="62" t="n"/>
      <c r="I111" s="62" t="n"/>
      <c r="J111" s="60" t="n"/>
      <c r="K111" s="60" t="n"/>
      <c r="L111" s="60" t="n"/>
      <c r="M111" s="61" t="n"/>
      <c r="N111" s="60" t="n"/>
      <c r="O111" s="60" t="n"/>
      <c r="P111" s="60" t="n"/>
      <c r="Q111" s="60" t="n"/>
      <c r="R111" s="60" t="n"/>
      <c r="S111" s="60" t="n"/>
      <c r="T111" s="60" t="n"/>
      <c r="U111" s="60" t="n"/>
      <c r="V111" s="60" t="n"/>
      <c r="W111" s="60" t="n"/>
      <c r="X111" s="60" t="n"/>
      <c r="Y111" s="63">
        <f>IF($H111="","",TODAY()-$H111)</f>
        <v/>
      </c>
      <c r="Z111" s="63">
        <f>IF($A111="","",IF(AND($F111="Yes",OR($U111="No",$U111="NOT FOUND")),"YES",""))</f>
        <v/>
      </c>
      <c r="AA111" s="66">
        <f>IF($A111="","",TRIM(IF(AND($P111=0,$L111&lt;&gt;"Yes"),"T0-NoSmartcard ","")&amp;IF(AND($J111&lt;&gt;"",$J111&gt;365),"StalePwd ","")&amp;IF($K111="Yes","PwdNeverExpires ","")&amp;IF(AND($S111&lt;&gt;"",$S111&lt;&gt;"None"),"Delegation ","")&amp;IF(AND($Q111=1,$O111="None"),"StaleAdminCount ","")&amp;IF(AND($F111="Yes",$H111=""),"NeverLoggedOn ","")))</f>
        <v/>
      </c>
      <c r="AB111" s="60" t="n"/>
      <c r="AC111" s="61" t="n"/>
      <c r="AD111" s="60" t="n"/>
      <c r="AE111" s="62" t="n"/>
      <c r="AF111" s="62" t="n"/>
      <c r="AG111" s="62" t="n"/>
      <c r="AH111" s="60" t="n"/>
      <c r="AI111" s="61" t="n"/>
      <c r="AJ111" s="63">
        <f>IF($A111="","",IF(AF111="","Not Enrolled",IF(TODAY()&gt;AF111,"Review Overdue",IF(AF111-TODAY()&lt;=30,"Review Due Soon","Active"))))</f>
        <v/>
      </c>
      <c r="AK111" s="63">
        <f>IF($A111="","",IF(AG111="","NOT REVIEWED",IF(TODAY()-AG111&gt;90,"OVERDUE",IF(TODAY()-AG111&gt;76,"Due Soon","Current"))))</f>
        <v/>
      </c>
    </row>
    <row r="112" ht="15" customHeight="1" s="39">
      <c r="A112" s="60" t="n"/>
      <c r="B112" s="60" t="n"/>
      <c r="C112" s="61" t="n"/>
      <c r="D112" s="61" t="n"/>
      <c r="E112" s="60" t="n"/>
      <c r="F112" s="60" t="n"/>
      <c r="G112" s="62" t="n"/>
      <c r="H112" s="62" t="n"/>
      <c r="I112" s="62" t="n"/>
      <c r="J112" s="60" t="n"/>
      <c r="K112" s="60" t="n"/>
      <c r="L112" s="60" t="n"/>
      <c r="M112" s="61" t="n"/>
      <c r="N112" s="60" t="n"/>
      <c r="O112" s="60" t="n"/>
      <c r="P112" s="60" t="n"/>
      <c r="Q112" s="60" t="n"/>
      <c r="R112" s="60" t="n"/>
      <c r="S112" s="60" t="n"/>
      <c r="T112" s="60" t="n"/>
      <c r="U112" s="60" t="n"/>
      <c r="V112" s="60" t="n"/>
      <c r="W112" s="60" t="n"/>
      <c r="X112" s="60" t="n"/>
      <c r="Y112" s="63">
        <f>IF($H112="","",TODAY()-$H112)</f>
        <v/>
      </c>
      <c r="Z112" s="63">
        <f>IF($A112="","",IF(AND($F112="Yes",OR($U112="No",$U112="NOT FOUND")),"YES",""))</f>
        <v/>
      </c>
      <c r="AA112" s="66">
        <f>IF($A112="","",TRIM(IF(AND($P112=0,$L112&lt;&gt;"Yes"),"T0-NoSmartcard ","")&amp;IF(AND($J112&lt;&gt;"",$J112&gt;365),"StalePwd ","")&amp;IF($K112="Yes","PwdNeverExpires ","")&amp;IF(AND($S112&lt;&gt;"",$S112&lt;&gt;"None"),"Delegation ","")&amp;IF(AND($Q112=1,$O112="None"),"StaleAdminCount ","")&amp;IF(AND($F112="Yes",$H112=""),"NeverLoggedOn ","")))</f>
        <v/>
      </c>
      <c r="AB112" s="60" t="n"/>
      <c r="AC112" s="61" t="n"/>
      <c r="AD112" s="60" t="n"/>
      <c r="AE112" s="62" t="n"/>
      <c r="AF112" s="62" t="n"/>
      <c r="AG112" s="62" t="n"/>
      <c r="AH112" s="60" t="n"/>
      <c r="AI112" s="61" t="n"/>
      <c r="AJ112" s="63">
        <f>IF($A112="","",IF(AF112="","Not Enrolled",IF(TODAY()&gt;AF112,"Review Overdue",IF(AF112-TODAY()&lt;=30,"Review Due Soon","Active"))))</f>
        <v/>
      </c>
      <c r="AK112" s="63">
        <f>IF($A112="","",IF(AG112="","NOT REVIEWED",IF(TODAY()-AG112&gt;90,"OVERDUE",IF(TODAY()-AG112&gt;76,"Due Soon","Current"))))</f>
        <v/>
      </c>
    </row>
    <row r="113" ht="15" customHeight="1" s="39">
      <c r="A113" s="60" t="n"/>
      <c r="B113" s="60" t="n"/>
      <c r="C113" s="61" t="n"/>
      <c r="D113" s="61" t="n"/>
      <c r="E113" s="60" t="n"/>
      <c r="F113" s="60" t="n"/>
      <c r="G113" s="62" t="n"/>
      <c r="H113" s="62" t="n"/>
      <c r="I113" s="62" t="n"/>
      <c r="J113" s="60" t="n"/>
      <c r="K113" s="60" t="n"/>
      <c r="L113" s="60" t="n"/>
      <c r="M113" s="61" t="n"/>
      <c r="N113" s="60" t="n"/>
      <c r="O113" s="60" t="n"/>
      <c r="P113" s="60" t="n"/>
      <c r="Q113" s="60" t="n"/>
      <c r="R113" s="60" t="n"/>
      <c r="S113" s="60" t="n"/>
      <c r="T113" s="60" t="n"/>
      <c r="U113" s="60" t="n"/>
      <c r="V113" s="60" t="n"/>
      <c r="W113" s="60" t="n"/>
      <c r="X113" s="60" t="n"/>
      <c r="Y113" s="63">
        <f>IF($H113="","",TODAY()-$H113)</f>
        <v/>
      </c>
      <c r="Z113" s="63">
        <f>IF($A113="","",IF(AND($F113="Yes",OR($U113="No",$U113="NOT FOUND")),"YES",""))</f>
        <v/>
      </c>
      <c r="AA113" s="66">
        <f>IF($A113="","",TRIM(IF(AND($P113=0,$L113&lt;&gt;"Yes"),"T0-NoSmartcard ","")&amp;IF(AND($J113&lt;&gt;"",$J113&gt;365),"StalePwd ","")&amp;IF($K113="Yes","PwdNeverExpires ","")&amp;IF(AND($S113&lt;&gt;"",$S113&lt;&gt;"None"),"Delegation ","")&amp;IF(AND($Q113=1,$O113="None"),"StaleAdminCount ","")&amp;IF(AND($F113="Yes",$H113=""),"NeverLoggedOn ","")))</f>
        <v/>
      </c>
      <c r="AB113" s="60" t="n"/>
      <c r="AC113" s="61" t="n"/>
      <c r="AD113" s="60" t="n"/>
      <c r="AE113" s="62" t="n"/>
      <c r="AF113" s="62" t="n"/>
      <c r="AG113" s="62" t="n"/>
      <c r="AH113" s="60" t="n"/>
      <c r="AI113" s="61" t="n"/>
      <c r="AJ113" s="63">
        <f>IF($A113="","",IF(AF113="","Not Enrolled",IF(TODAY()&gt;AF113,"Review Overdue",IF(AF113-TODAY()&lt;=30,"Review Due Soon","Active"))))</f>
        <v/>
      </c>
      <c r="AK113" s="63">
        <f>IF($A113="","",IF(AG113="","NOT REVIEWED",IF(TODAY()-AG113&gt;90,"OVERDUE",IF(TODAY()-AG113&gt;76,"Due Soon","Current"))))</f>
        <v/>
      </c>
    </row>
    <row r="114" ht="15" customHeight="1" s="39">
      <c r="A114" s="60" t="n"/>
      <c r="B114" s="60" t="n"/>
      <c r="C114" s="61" t="n"/>
      <c r="D114" s="61" t="n"/>
      <c r="E114" s="60" t="n"/>
      <c r="F114" s="60" t="n"/>
      <c r="G114" s="62" t="n"/>
      <c r="H114" s="62" t="n"/>
      <c r="I114" s="62" t="n"/>
      <c r="J114" s="60" t="n"/>
      <c r="K114" s="60" t="n"/>
      <c r="L114" s="60" t="n"/>
      <c r="M114" s="61" t="n"/>
      <c r="N114" s="60" t="n"/>
      <c r="O114" s="60" t="n"/>
      <c r="P114" s="60" t="n"/>
      <c r="Q114" s="60" t="n"/>
      <c r="R114" s="60" t="n"/>
      <c r="S114" s="60" t="n"/>
      <c r="T114" s="60" t="n"/>
      <c r="U114" s="60" t="n"/>
      <c r="V114" s="60" t="n"/>
      <c r="W114" s="60" t="n"/>
      <c r="X114" s="60" t="n"/>
      <c r="Y114" s="63">
        <f>IF($H114="","",TODAY()-$H114)</f>
        <v/>
      </c>
      <c r="Z114" s="63">
        <f>IF($A114="","",IF(AND($F114="Yes",OR($U114="No",$U114="NOT FOUND")),"YES",""))</f>
        <v/>
      </c>
      <c r="AA114" s="66">
        <f>IF($A114="","",TRIM(IF(AND($P114=0,$L114&lt;&gt;"Yes"),"T0-NoSmartcard ","")&amp;IF(AND($J114&lt;&gt;"",$J114&gt;365),"StalePwd ","")&amp;IF($K114="Yes","PwdNeverExpires ","")&amp;IF(AND($S114&lt;&gt;"",$S114&lt;&gt;"None"),"Delegation ","")&amp;IF(AND($Q114=1,$O114="None"),"StaleAdminCount ","")&amp;IF(AND($F114="Yes",$H114=""),"NeverLoggedOn ","")))</f>
        <v/>
      </c>
      <c r="AB114" s="60" t="n"/>
      <c r="AC114" s="61" t="n"/>
      <c r="AD114" s="60" t="n"/>
      <c r="AE114" s="62" t="n"/>
      <c r="AF114" s="62" t="n"/>
      <c r="AG114" s="62" t="n"/>
      <c r="AH114" s="60" t="n"/>
      <c r="AI114" s="61" t="n"/>
      <c r="AJ114" s="63">
        <f>IF($A114="","",IF(AF114="","Not Enrolled",IF(TODAY()&gt;AF114,"Review Overdue",IF(AF114-TODAY()&lt;=30,"Review Due Soon","Active"))))</f>
        <v/>
      </c>
      <c r="AK114" s="63">
        <f>IF($A114="","",IF(AG114="","NOT REVIEWED",IF(TODAY()-AG114&gt;90,"OVERDUE",IF(TODAY()-AG114&gt;76,"Due Soon","Current"))))</f>
        <v/>
      </c>
    </row>
    <row r="115" ht="15" customHeight="1" s="39">
      <c r="A115" s="60" t="n"/>
      <c r="B115" s="60" t="n"/>
      <c r="C115" s="61" t="n"/>
      <c r="D115" s="61" t="n"/>
      <c r="E115" s="60" t="n"/>
      <c r="F115" s="60" t="n"/>
      <c r="G115" s="62" t="n"/>
      <c r="H115" s="62" t="n"/>
      <c r="I115" s="62" t="n"/>
      <c r="J115" s="60" t="n"/>
      <c r="K115" s="60" t="n"/>
      <c r="L115" s="60" t="n"/>
      <c r="M115" s="61" t="n"/>
      <c r="N115" s="60" t="n"/>
      <c r="O115" s="60" t="n"/>
      <c r="P115" s="60" t="n"/>
      <c r="Q115" s="60" t="n"/>
      <c r="R115" s="60" t="n"/>
      <c r="S115" s="60" t="n"/>
      <c r="T115" s="60" t="n"/>
      <c r="U115" s="60" t="n"/>
      <c r="V115" s="60" t="n"/>
      <c r="W115" s="60" t="n"/>
      <c r="X115" s="60" t="n"/>
      <c r="Y115" s="63">
        <f>IF($H115="","",TODAY()-$H115)</f>
        <v/>
      </c>
      <c r="Z115" s="63">
        <f>IF($A115="","",IF(AND($F115="Yes",OR($U115="No",$U115="NOT FOUND")),"YES",""))</f>
        <v/>
      </c>
      <c r="AA115" s="66">
        <f>IF($A115="","",TRIM(IF(AND($P115=0,$L115&lt;&gt;"Yes"),"T0-NoSmartcard ","")&amp;IF(AND($J115&lt;&gt;"",$J115&gt;365),"StalePwd ","")&amp;IF($K115="Yes","PwdNeverExpires ","")&amp;IF(AND($S115&lt;&gt;"",$S115&lt;&gt;"None"),"Delegation ","")&amp;IF(AND($Q115=1,$O115="None"),"StaleAdminCount ","")&amp;IF(AND($F115="Yes",$H115=""),"NeverLoggedOn ","")))</f>
        <v/>
      </c>
      <c r="AB115" s="60" t="n"/>
      <c r="AC115" s="61" t="n"/>
      <c r="AD115" s="60" t="n"/>
      <c r="AE115" s="62" t="n"/>
      <c r="AF115" s="62" t="n"/>
      <c r="AG115" s="62" t="n"/>
      <c r="AH115" s="60" t="n"/>
      <c r="AI115" s="61" t="n"/>
      <c r="AJ115" s="63">
        <f>IF($A115="","",IF(AF115="","Not Enrolled",IF(TODAY()&gt;AF115,"Review Overdue",IF(AF115-TODAY()&lt;=30,"Review Due Soon","Active"))))</f>
        <v/>
      </c>
      <c r="AK115" s="63">
        <f>IF($A115="","",IF(AG115="","NOT REVIEWED",IF(TODAY()-AG115&gt;90,"OVERDUE",IF(TODAY()-AG115&gt;76,"Due Soon","Current"))))</f>
        <v/>
      </c>
    </row>
    <row r="116" ht="15" customHeight="1" s="39">
      <c r="A116" s="60" t="n"/>
      <c r="B116" s="60" t="n"/>
      <c r="C116" s="61" t="n"/>
      <c r="D116" s="61" t="n"/>
      <c r="E116" s="60" t="n"/>
      <c r="F116" s="60" t="n"/>
      <c r="G116" s="62" t="n"/>
      <c r="H116" s="62" t="n"/>
      <c r="I116" s="62" t="n"/>
      <c r="J116" s="60" t="n"/>
      <c r="K116" s="60" t="n"/>
      <c r="L116" s="60" t="n"/>
      <c r="M116" s="61" t="n"/>
      <c r="N116" s="60" t="n"/>
      <c r="O116" s="60" t="n"/>
      <c r="P116" s="60" t="n"/>
      <c r="Q116" s="60" t="n"/>
      <c r="R116" s="60" t="n"/>
      <c r="S116" s="60" t="n"/>
      <c r="T116" s="60" t="n"/>
      <c r="U116" s="60" t="n"/>
      <c r="V116" s="60" t="n"/>
      <c r="W116" s="60" t="n"/>
      <c r="X116" s="60" t="n"/>
      <c r="Y116" s="63">
        <f>IF($H116="","",TODAY()-$H116)</f>
        <v/>
      </c>
      <c r="Z116" s="63">
        <f>IF($A116="","",IF(AND($F116="Yes",OR($U116="No",$U116="NOT FOUND")),"YES",""))</f>
        <v/>
      </c>
      <c r="AA116" s="66">
        <f>IF($A116="","",TRIM(IF(AND($P116=0,$L116&lt;&gt;"Yes"),"T0-NoSmartcard ","")&amp;IF(AND($J116&lt;&gt;"",$J116&gt;365),"StalePwd ","")&amp;IF($K116="Yes","PwdNeverExpires ","")&amp;IF(AND($S116&lt;&gt;"",$S116&lt;&gt;"None"),"Delegation ","")&amp;IF(AND($Q116=1,$O116="None"),"StaleAdminCount ","")&amp;IF(AND($F116="Yes",$H116=""),"NeverLoggedOn ","")))</f>
        <v/>
      </c>
      <c r="AB116" s="60" t="n"/>
      <c r="AC116" s="61" t="n"/>
      <c r="AD116" s="60" t="n"/>
      <c r="AE116" s="62" t="n"/>
      <c r="AF116" s="62" t="n"/>
      <c r="AG116" s="62" t="n"/>
      <c r="AH116" s="60" t="n"/>
      <c r="AI116" s="61" t="n"/>
      <c r="AJ116" s="63">
        <f>IF($A116="","",IF(AF116="","Not Enrolled",IF(TODAY()&gt;AF116,"Review Overdue",IF(AF116-TODAY()&lt;=30,"Review Due Soon","Active"))))</f>
        <v/>
      </c>
      <c r="AK116" s="63">
        <f>IF($A116="","",IF(AG116="","NOT REVIEWED",IF(TODAY()-AG116&gt;90,"OVERDUE",IF(TODAY()-AG116&gt;76,"Due Soon","Current"))))</f>
        <v/>
      </c>
    </row>
    <row r="117" ht="15" customHeight="1" s="39">
      <c r="A117" s="60" t="n"/>
      <c r="B117" s="60" t="n"/>
      <c r="C117" s="61" t="n"/>
      <c r="D117" s="61" t="n"/>
      <c r="E117" s="60" t="n"/>
      <c r="F117" s="60" t="n"/>
      <c r="G117" s="62" t="n"/>
      <c r="H117" s="62" t="n"/>
      <c r="I117" s="62" t="n"/>
      <c r="J117" s="60" t="n"/>
      <c r="K117" s="60" t="n"/>
      <c r="L117" s="60" t="n"/>
      <c r="M117" s="61" t="n"/>
      <c r="N117" s="60" t="n"/>
      <c r="O117" s="60" t="n"/>
      <c r="P117" s="60" t="n"/>
      <c r="Q117" s="60" t="n"/>
      <c r="R117" s="60" t="n"/>
      <c r="S117" s="60" t="n"/>
      <c r="T117" s="60" t="n"/>
      <c r="U117" s="60" t="n"/>
      <c r="V117" s="60" t="n"/>
      <c r="W117" s="60" t="n"/>
      <c r="X117" s="60" t="n"/>
      <c r="Y117" s="63">
        <f>IF($H117="","",TODAY()-$H117)</f>
        <v/>
      </c>
      <c r="Z117" s="63">
        <f>IF($A117="","",IF(AND($F117="Yes",OR($U117="No",$U117="NOT FOUND")),"YES",""))</f>
        <v/>
      </c>
      <c r="AA117" s="66">
        <f>IF($A117="","",TRIM(IF(AND($P117=0,$L117&lt;&gt;"Yes"),"T0-NoSmartcard ","")&amp;IF(AND($J117&lt;&gt;"",$J117&gt;365),"StalePwd ","")&amp;IF($K117="Yes","PwdNeverExpires ","")&amp;IF(AND($S117&lt;&gt;"",$S117&lt;&gt;"None"),"Delegation ","")&amp;IF(AND($Q117=1,$O117="None"),"StaleAdminCount ","")&amp;IF(AND($F117="Yes",$H117=""),"NeverLoggedOn ","")))</f>
        <v/>
      </c>
      <c r="AB117" s="60" t="n"/>
      <c r="AC117" s="61" t="n"/>
      <c r="AD117" s="60" t="n"/>
      <c r="AE117" s="62" t="n"/>
      <c r="AF117" s="62" t="n"/>
      <c r="AG117" s="62" t="n"/>
      <c r="AH117" s="60" t="n"/>
      <c r="AI117" s="61" t="n"/>
      <c r="AJ117" s="63">
        <f>IF($A117="","",IF(AF117="","Not Enrolled",IF(TODAY()&gt;AF117,"Review Overdue",IF(AF117-TODAY()&lt;=30,"Review Due Soon","Active"))))</f>
        <v/>
      </c>
      <c r="AK117" s="63">
        <f>IF($A117="","",IF(AG117="","NOT REVIEWED",IF(TODAY()-AG117&gt;90,"OVERDUE",IF(TODAY()-AG117&gt;76,"Due Soon","Current"))))</f>
        <v/>
      </c>
    </row>
    <row r="118" ht="15" customHeight="1" s="39">
      <c r="A118" s="60" t="n"/>
      <c r="B118" s="60" t="n"/>
      <c r="C118" s="61" t="n"/>
      <c r="D118" s="61" t="n"/>
      <c r="E118" s="60" t="n"/>
      <c r="F118" s="60" t="n"/>
      <c r="G118" s="62" t="n"/>
      <c r="H118" s="62" t="n"/>
      <c r="I118" s="62" t="n"/>
      <c r="J118" s="60" t="n"/>
      <c r="K118" s="60" t="n"/>
      <c r="L118" s="60" t="n"/>
      <c r="M118" s="61" t="n"/>
      <c r="N118" s="60" t="n"/>
      <c r="O118" s="60" t="n"/>
      <c r="P118" s="60" t="n"/>
      <c r="Q118" s="60" t="n"/>
      <c r="R118" s="60" t="n"/>
      <c r="S118" s="60" t="n"/>
      <c r="T118" s="60" t="n"/>
      <c r="U118" s="60" t="n"/>
      <c r="V118" s="60" t="n"/>
      <c r="W118" s="60" t="n"/>
      <c r="X118" s="60" t="n"/>
      <c r="Y118" s="63">
        <f>IF($H118="","",TODAY()-$H118)</f>
        <v/>
      </c>
      <c r="Z118" s="63">
        <f>IF($A118="","",IF(AND($F118="Yes",OR($U118="No",$U118="NOT FOUND")),"YES",""))</f>
        <v/>
      </c>
      <c r="AA118" s="66">
        <f>IF($A118="","",TRIM(IF(AND($P118=0,$L118&lt;&gt;"Yes"),"T0-NoSmartcard ","")&amp;IF(AND($J118&lt;&gt;"",$J118&gt;365),"StalePwd ","")&amp;IF($K118="Yes","PwdNeverExpires ","")&amp;IF(AND($S118&lt;&gt;"",$S118&lt;&gt;"None"),"Delegation ","")&amp;IF(AND($Q118=1,$O118="None"),"StaleAdminCount ","")&amp;IF(AND($F118="Yes",$H118=""),"NeverLoggedOn ","")))</f>
        <v/>
      </c>
      <c r="AB118" s="60" t="n"/>
      <c r="AC118" s="61" t="n"/>
      <c r="AD118" s="60" t="n"/>
      <c r="AE118" s="62" t="n"/>
      <c r="AF118" s="62" t="n"/>
      <c r="AG118" s="62" t="n"/>
      <c r="AH118" s="60" t="n"/>
      <c r="AI118" s="61" t="n"/>
      <c r="AJ118" s="63">
        <f>IF($A118="","",IF(AF118="","Not Enrolled",IF(TODAY()&gt;AF118,"Review Overdue",IF(AF118-TODAY()&lt;=30,"Review Due Soon","Active"))))</f>
        <v/>
      </c>
      <c r="AK118" s="63">
        <f>IF($A118="","",IF(AG118="","NOT REVIEWED",IF(TODAY()-AG118&gt;90,"OVERDUE",IF(TODAY()-AG118&gt;76,"Due Soon","Current"))))</f>
        <v/>
      </c>
    </row>
    <row r="119" ht="15" customHeight="1" s="39">
      <c r="A119" s="60" t="n"/>
      <c r="B119" s="60" t="n"/>
      <c r="C119" s="61" t="n"/>
      <c r="D119" s="61" t="n"/>
      <c r="E119" s="60" t="n"/>
      <c r="F119" s="60" t="n"/>
      <c r="G119" s="62" t="n"/>
      <c r="H119" s="62" t="n"/>
      <c r="I119" s="62" t="n"/>
      <c r="J119" s="60" t="n"/>
      <c r="K119" s="60" t="n"/>
      <c r="L119" s="60" t="n"/>
      <c r="M119" s="61" t="n"/>
      <c r="N119" s="60" t="n"/>
      <c r="O119" s="60" t="n"/>
      <c r="P119" s="60" t="n"/>
      <c r="Q119" s="60" t="n"/>
      <c r="R119" s="60" t="n"/>
      <c r="S119" s="60" t="n"/>
      <c r="T119" s="60" t="n"/>
      <c r="U119" s="60" t="n"/>
      <c r="V119" s="60" t="n"/>
      <c r="W119" s="60" t="n"/>
      <c r="X119" s="60" t="n"/>
      <c r="Y119" s="63">
        <f>IF($H119="","",TODAY()-$H119)</f>
        <v/>
      </c>
      <c r="Z119" s="63">
        <f>IF($A119="","",IF(AND($F119="Yes",OR($U119="No",$U119="NOT FOUND")),"YES",""))</f>
        <v/>
      </c>
      <c r="AA119" s="66">
        <f>IF($A119="","",TRIM(IF(AND($P119=0,$L119&lt;&gt;"Yes"),"T0-NoSmartcard ","")&amp;IF(AND($J119&lt;&gt;"",$J119&gt;365),"StalePwd ","")&amp;IF($K119="Yes","PwdNeverExpires ","")&amp;IF(AND($S119&lt;&gt;"",$S119&lt;&gt;"None"),"Delegation ","")&amp;IF(AND($Q119=1,$O119="None"),"StaleAdminCount ","")&amp;IF(AND($F119="Yes",$H119=""),"NeverLoggedOn ","")))</f>
        <v/>
      </c>
      <c r="AB119" s="60" t="n"/>
      <c r="AC119" s="61" t="n"/>
      <c r="AD119" s="60" t="n"/>
      <c r="AE119" s="62" t="n"/>
      <c r="AF119" s="62" t="n"/>
      <c r="AG119" s="62" t="n"/>
      <c r="AH119" s="60" t="n"/>
      <c r="AI119" s="61" t="n"/>
      <c r="AJ119" s="63">
        <f>IF($A119="","",IF(AF119="","Not Enrolled",IF(TODAY()&gt;AF119,"Review Overdue",IF(AF119-TODAY()&lt;=30,"Review Due Soon","Active"))))</f>
        <v/>
      </c>
      <c r="AK119" s="63">
        <f>IF($A119="","",IF(AG119="","NOT REVIEWED",IF(TODAY()-AG119&gt;90,"OVERDUE",IF(TODAY()-AG119&gt;76,"Due Soon","Current"))))</f>
        <v/>
      </c>
    </row>
    <row r="120" ht="15" customHeight="1" s="39">
      <c r="A120" s="60" t="n"/>
      <c r="B120" s="60" t="n"/>
      <c r="C120" s="61" t="n"/>
      <c r="D120" s="61" t="n"/>
      <c r="E120" s="60" t="n"/>
      <c r="F120" s="60" t="n"/>
      <c r="G120" s="62" t="n"/>
      <c r="H120" s="62" t="n"/>
      <c r="I120" s="62" t="n"/>
      <c r="J120" s="60" t="n"/>
      <c r="K120" s="60" t="n"/>
      <c r="L120" s="60" t="n"/>
      <c r="M120" s="61" t="n"/>
      <c r="N120" s="60" t="n"/>
      <c r="O120" s="60" t="n"/>
      <c r="P120" s="60" t="n"/>
      <c r="Q120" s="60" t="n"/>
      <c r="R120" s="60" t="n"/>
      <c r="S120" s="60" t="n"/>
      <c r="T120" s="60" t="n"/>
      <c r="U120" s="60" t="n"/>
      <c r="V120" s="60" t="n"/>
      <c r="W120" s="60" t="n"/>
      <c r="X120" s="60" t="n"/>
      <c r="Y120" s="63">
        <f>IF($H120="","",TODAY()-$H120)</f>
        <v/>
      </c>
      <c r="Z120" s="63">
        <f>IF($A120="","",IF(AND($F120="Yes",OR($U120="No",$U120="NOT FOUND")),"YES",""))</f>
        <v/>
      </c>
      <c r="AA120" s="66">
        <f>IF($A120="","",TRIM(IF(AND($P120=0,$L120&lt;&gt;"Yes"),"T0-NoSmartcard ","")&amp;IF(AND($J120&lt;&gt;"",$J120&gt;365),"StalePwd ","")&amp;IF($K120="Yes","PwdNeverExpires ","")&amp;IF(AND($S120&lt;&gt;"",$S120&lt;&gt;"None"),"Delegation ","")&amp;IF(AND($Q120=1,$O120="None"),"StaleAdminCount ","")&amp;IF(AND($F120="Yes",$H120=""),"NeverLoggedOn ","")))</f>
        <v/>
      </c>
      <c r="AB120" s="60" t="n"/>
      <c r="AC120" s="61" t="n"/>
      <c r="AD120" s="60" t="n"/>
      <c r="AE120" s="62" t="n"/>
      <c r="AF120" s="62" t="n"/>
      <c r="AG120" s="62" t="n"/>
      <c r="AH120" s="60" t="n"/>
      <c r="AI120" s="61" t="n"/>
      <c r="AJ120" s="63">
        <f>IF($A120="","",IF(AF120="","Not Enrolled",IF(TODAY()&gt;AF120,"Review Overdue",IF(AF120-TODAY()&lt;=30,"Review Due Soon","Active"))))</f>
        <v/>
      </c>
      <c r="AK120" s="63">
        <f>IF($A120="","",IF(AG120="","NOT REVIEWED",IF(TODAY()-AG120&gt;90,"OVERDUE",IF(TODAY()-AG120&gt;76,"Due Soon","Current"))))</f>
        <v/>
      </c>
    </row>
    <row r="121" ht="15" customHeight="1" s="39">
      <c r="A121" s="60" t="n"/>
      <c r="B121" s="60" t="n"/>
      <c r="C121" s="61" t="n"/>
      <c r="D121" s="61" t="n"/>
      <c r="E121" s="60" t="n"/>
      <c r="F121" s="60" t="n"/>
      <c r="G121" s="62" t="n"/>
      <c r="H121" s="62" t="n"/>
      <c r="I121" s="62" t="n"/>
      <c r="J121" s="60" t="n"/>
      <c r="K121" s="60" t="n"/>
      <c r="L121" s="60" t="n"/>
      <c r="M121" s="61" t="n"/>
      <c r="N121" s="60" t="n"/>
      <c r="O121" s="60" t="n"/>
      <c r="P121" s="60" t="n"/>
      <c r="Q121" s="60" t="n"/>
      <c r="R121" s="60" t="n"/>
      <c r="S121" s="60" t="n"/>
      <c r="T121" s="60" t="n"/>
      <c r="U121" s="60" t="n"/>
      <c r="V121" s="60" t="n"/>
      <c r="W121" s="60" t="n"/>
      <c r="X121" s="60" t="n"/>
      <c r="Y121" s="63">
        <f>IF($H121="","",TODAY()-$H121)</f>
        <v/>
      </c>
      <c r="Z121" s="63">
        <f>IF($A121="","",IF(AND($F121="Yes",OR($U121="No",$U121="NOT FOUND")),"YES",""))</f>
        <v/>
      </c>
      <c r="AA121" s="66">
        <f>IF($A121="","",TRIM(IF(AND($P121=0,$L121&lt;&gt;"Yes"),"T0-NoSmartcard ","")&amp;IF(AND($J121&lt;&gt;"",$J121&gt;365),"StalePwd ","")&amp;IF($K121="Yes","PwdNeverExpires ","")&amp;IF(AND($S121&lt;&gt;"",$S121&lt;&gt;"None"),"Delegation ","")&amp;IF(AND($Q121=1,$O121="None"),"StaleAdminCount ","")&amp;IF(AND($F121="Yes",$H121=""),"NeverLoggedOn ","")))</f>
        <v/>
      </c>
      <c r="AB121" s="60" t="n"/>
      <c r="AC121" s="61" t="n"/>
      <c r="AD121" s="60" t="n"/>
      <c r="AE121" s="62" t="n"/>
      <c r="AF121" s="62" t="n"/>
      <c r="AG121" s="62" t="n"/>
      <c r="AH121" s="60" t="n"/>
      <c r="AI121" s="61" t="n"/>
      <c r="AJ121" s="63">
        <f>IF($A121="","",IF(AF121="","Not Enrolled",IF(TODAY()&gt;AF121,"Review Overdue",IF(AF121-TODAY()&lt;=30,"Review Due Soon","Active"))))</f>
        <v/>
      </c>
      <c r="AK121" s="63">
        <f>IF($A121="","",IF(AG121="","NOT REVIEWED",IF(TODAY()-AG121&gt;90,"OVERDUE",IF(TODAY()-AG121&gt;76,"Due Soon","Current"))))</f>
        <v/>
      </c>
    </row>
    <row r="122" ht="15" customHeight="1" s="39">
      <c r="A122" s="60" t="n"/>
      <c r="B122" s="60" t="n"/>
      <c r="C122" s="61" t="n"/>
      <c r="D122" s="61" t="n"/>
      <c r="E122" s="60" t="n"/>
      <c r="F122" s="60" t="n"/>
      <c r="G122" s="62" t="n"/>
      <c r="H122" s="62" t="n"/>
      <c r="I122" s="62" t="n"/>
      <c r="J122" s="60" t="n"/>
      <c r="K122" s="60" t="n"/>
      <c r="L122" s="60" t="n"/>
      <c r="M122" s="61" t="n"/>
      <c r="N122" s="60" t="n"/>
      <c r="O122" s="60" t="n"/>
      <c r="P122" s="60" t="n"/>
      <c r="Q122" s="60" t="n"/>
      <c r="R122" s="60" t="n"/>
      <c r="S122" s="60" t="n"/>
      <c r="T122" s="60" t="n"/>
      <c r="U122" s="60" t="n"/>
      <c r="V122" s="60" t="n"/>
      <c r="W122" s="60" t="n"/>
      <c r="X122" s="60" t="n"/>
      <c r="Y122" s="63">
        <f>IF($H122="","",TODAY()-$H122)</f>
        <v/>
      </c>
      <c r="Z122" s="63">
        <f>IF($A122="","",IF(AND($F122="Yes",OR($U122="No",$U122="NOT FOUND")),"YES",""))</f>
        <v/>
      </c>
      <c r="AA122" s="66">
        <f>IF($A122="","",TRIM(IF(AND($P122=0,$L122&lt;&gt;"Yes"),"T0-NoSmartcard ","")&amp;IF(AND($J122&lt;&gt;"",$J122&gt;365),"StalePwd ","")&amp;IF($K122="Yes","PwdNeverExpires ","")&amp;IF(AND($S122&lt;&gt;"",$S122&lt;&gt;"None"),"Delegation ","")&amp;IF(AND($Q122=1,$O122="None"),"StaleAdminCount ","")&amp;IF(AND($F122="Yes",$H122=""),"NeverLoggedOn ","")))</f>
        <v/>
      </c>
      <c r="AB122" s="60" t="n"/>
      <c r="AC122" s="61" t="n"/>
      <c r="AD122" s="60" t="n"/>
      <c r="AE122" s="62" t="n"/>
      <c r="AF122" s="62" t="n"/>
      <c r="AG122" s="62" t="n"/>
      <c r="AH122" s="60" t="n"/>
      <c r="AI122" s="61" t="n"/>
      <c r="AJ122" s="63">
        <f>IF($A122="","",IF(AF122="","Not Enrolled",IF(TODAY()&gt;AF122,"Review Overdue",IF(AF122-TODAY()&lt;=30,"Review Due Soon","Active"))))</f>
        <v/>
      </c>
      <c r="AK122" s="63">
        <f>IF($A122="","",IF(AG122="","NOT REVIEWED",IF(TODAY()-AG122&gt;90,"OVERDUE",IF(TODAY()-AG122&gt;76,"Due Soon","Current"))))</f>
        <v/>
      </c>
    </row>
    <row r="123" ht="15" customHeight="1" s="39">
      <c r="A123" s="60" t="n"/>
      <c r="B123" s="60" t="n"/>
      <c r="C123" s="61" t="n"/>
      <c r="D123" s="61" t="n"/>
      <c r="E123" s="60" t="n"/>
      <c r="F123" s="60" t="n"/>
      <c r="G123" s="62" t="n"/>
      <c r="H123" s="62" t="n"/>
      <c r="I123" s="62" t="n"/>
      <c r="J123" s="60" t="n"/>
      <c r="K123" s="60" t="n"/>
      <c r="L123" s="60" t="n"/>
      <c r="M123" s="61" t="n"/>
      <c r="N123" s="60" t="n"/>
      <c r="O123" s="60" t="n"/>
      <c r="P123" s="60" t="n"/>
      <c r="Q123" s="60" t="n"/>
      <c r="R123" s="60" t="n"/>
      <c r="S123" s="60" t="n"/>
      <c r="T123" s="60" t="n"/>
      <c r="U123" s="60" t="n"/>
      <c r="V123" s="60" t="n"/>
      <c r="W123" s="60" t="n"/>
      <c r="X123" s="60" t="n"/>
      <c r="Y123" s="63">
        <f>IF($H123="","",TODAY()-$H123)</f>
        <v/>
      </c>
      <c r="Z123" s="63">
        <f>IF($A123="","",IF(AND($F123="Yes",OR($U123="No",$U123="NOT FOUND")),"YES",""))</f>
        <v/>
      </c>
      <c r="AA123" s="66">
        <f>IF($A123="","",TRIM(IF(AND($P123=0,$L123&lt;&gt;"Yes"),"T0-NoSmartcard ","")&amp;IF(AND($J123&lt;&gt;"",$J123&gt;365),"StalePwd ","")&amp;IF($K123="Yes","PwdNeverExpires ","")&amp;IF(AND($S123&lt;&gt;"",$S123&lt;&gt;"None"),"Delegation ","")&amp;IF(AND($Q123=1,$O123="None"),"StaleAdminCount ","")&amp;IF(AND($F123="Yes",$H123=""),"NeverLoggedOn ","")))</f>
        <v/>
      </c>
      <c r="AB123" s="60" t="n"/>
      <c r="AC123" s="61" t="n"/>
      <c r="AD123" s="60" t="n"/>
      <c r="AE123" s="62" t="n"/>
      <c r="AF123" s="62" t="n"/>
      <c r="AG123" s="62" t="n"/>
      <c r="AH123" s="60" t="n"/>
      <c r="AI123" s="61" t="n"/>
      <c r="AJ123" s="63">
        <f>IF($A123="","",IF(AF123="","Not Enrolled",IF(TODAY()&gt;AF123,"Review Overdue",IF(AF123-TODAY()&lt;=30,"Review Due Soon","Active"))))</f>
        <v/>
      </c>
      <c r="AK123" s="63">
        <f>IF($A123="","",IF(AG123="","NOT REVIEWED",IF(TODAY()-AG123&gt;90,"OVERDUE",IF(TODAY()-AG123&gt;76,"Due Soon","Current"))))</f>
        <v/>
      </c>
    </row>
    <row r="124" ht="15" customHeight="1" s="39">
      <c r="A124" s="60" t="n"/>
      <c r="B124" s="60" t="n"/>
      <c r="C124" s="61" t="n"/>
      <c r="D124" s="61" t="n"/>
      <c r="E124" s="60" t="n"/>
      <c r="F124" s="60" t="n"/>
      <c r="G124" s="62" t="n"/>
      <c r="H124" s="62" t="n"/>
      <c r="I124" s="62" t="n"/>
      <c r="J124" s="60" t="n"/>
      <c r="K124" s="60" t="n"/>
      <c r="L124" s="60" t="n"/>
      <c r="M124" s="61" t="n"/>
      <c r="N124" s="60" t="n"/>
      <c r="O124" s="60" t="n"/>
      <c r="P124" s="60" t="n"/>
      <c r="Q124" s="60" t="n"/>
      <c r="R124" s="60" t="n"/>
      <c r="S124" s="60" t="n"/>
      <c r="T124" s="60" t="n"/>
      <c r="U124" s="60" t="n"/>
      <c r="V124" s="60" t="n"/>
      <c r="W124" s="60" t="n"/>
      <c r="X124" s="60" t="n"/>
      <c r="Y124" s="63">
        <f>IF($H124="","",TODAY()-$H124)</f>
        <v/>
      </c>
      <c r="Z124" s="63">
        <f>IF($A124="","",IF(AND($F124="Yes",OR($U124="No",$U124="NOT FOUND")),"YES",""))</f>
        <v/>
      </c>
      <c r="AA124" s="66">
        <f>IF($A124="","",TRIM(IF(AND($P124=0,$L124&lt;&gt;"Yes"),"T0-NoSmartcard ","")&amp;IF(AND($J124&lt;&gt;"",$J124&gt;365),"StalePwd ","")&amp;IF($K124="Yes","PwdNeverExpires ","")&amp;IF(AND($S124&lt;&gt;"",$S124&lt;&gt;"None"),"Delegation ","")&amp;IF(AND($Q124=1,$O124="None"),"StaleAdminCount ","")&amp;IF(AND($F124="Yes",$H124=""),"NeverLoggedOn ","")))</f>
        <v/>
      </c>
      <c r="AB124" s="60" t="n"/>
      <c r="AC124" s="61" t="n"/>
      <c r="AD124" s="60" t="n"/>
      <c r="AE124" s="62" t="n"/>
      <c r="AF124" s="62" t="n"/>
      <c r="AG124" s="62" t="n"/>
      <c r="AH124" s="60" t="n"/>
      <c r="AI124" s="61" t="n"/>
      <c r="AJ124" s="63">
        <f>IF($A124="","",IF(AF124="","Not Enrolled",IF(TODAY()&gt;AF124,"Review Overdue",IF(AF124-TODAY()&lt;=30,"Review Due Soon","Active"))))</f>
        <v/>
      </c>
      <c r="AK124" s="63">
        <f>IF($A124="","",IF(AG124="","NOT REVIEWED",IF(TODAY()-AG124&gt;90,"OVERDUE",IF(TODAY()-AG124&gt;76,"Due Soon","Current"))))</f>
        <v/>
      </c>
    </row>
    <row r="125" ht="15" customHeight="1" s="39">
      <c r="A125" s="60" t="n"/>
      <c r="B125" s="60" t="n"/>
      <c r="C125" s="61" t="n"/>
      <c r="D125" s="61" t="n"/>
      <c r="E125" s="60" t="n"/>
      <c r="F125" s="60" t="n"/>
      <c r="G125" s="62" t="n"/>
      <c r="H125" s="62" t="n"/>
      <c r="I125" s="62" t="n"/>
      <c r="J125" s="60" t="n"/>
      <c r="K125" s="60" t="n"/>
      <c r="L125" s="60" t="n"/>
      <c r="M125" s="61" t="n"/>
      <c r="N125" s="60" t="n"/>
      <c r="O125" s="60" t="n"/>
      <c r="P125" s="60" t="n"/>
      <c r="Q125" s="60" t="n"/>
      <c r="R125" s="60" t="n"/>
      <c r="S125" s="60" t="n"/>
      <c r="T125" s="60" t="n"/>
      <c r="U125" s="60" t="n"/>
      <c r="V125" s="60" t="n"/>
      <c r="W125" s="60" t="n"/>
      <c r="X125" s="60" t="n"/>
      <c r="Y125" s="63">
        <f>IF($H125="","",TODAY()-$H125)</f>
        <v/>
      </c>
      <c r="Z125" s="63">
        <f>IF($A125="","",IF(AND($F125="Yes",OR($U125="No",$U125="NOT FOUND")),"YES",""))</f>
        <v/>
      </c>
      <c r="AA125" s="66">
        <f>IF($A125="","",TRIM(IF(AND($P125=0,$L125&lt;&gt;"Yes"),"T0-NoSmartcard ","")&amp;IF(AND($J125&lt;&gt;"",$J125&gt;365),"StalePwd ","")&amp;IF($K125="Yes","PwdNeverExpires ","")&amp;IF(AND($S125&lt;&gt;"",$S125&lt;&gt;"None"),"Delegation ","")&amp;IF(AND($Q125=1,$O125="None"),"StaleAdminCount ","")&amp;IF(AND($F125="Yes",$H125=""),"NeverLoggedOn ","")))</f>
        <v/>
      </c>
      <c r="AB125" s="60" t="n"/>
      <c r="AC125" s="61" t="n"/>
      <c r="AD125" s="60" t="n"/>
      <c r="AE125" s="62" t="n"/>
      <c r="AF125" s="62" t="n"/>
      <c r="AG125" s="62" t="n"/>
      <c r="AH125" s="60" t="n"/>
      <c r="AI125" s="61" t="n"/>
      <c r="AJ125" s="63">
        <f>IF($A125="","",IF(AF125="","Not Enrolled",IF(TODAY()&gt;AF125,"Review Overdue",IF(AF125-TODAY()&lt;=30,"Review Due Soon","Active"))))</f>
        <v/>
      </c>
      <c r="AK125" s="63">
        <f>IF($A125="","",IF(AG125="","NOT REVIEWED",IF(TODAY()-AG125&gt;90,"OVERDUE",IF(TODAY()-AG125&gt;76,"Due Soon","Current"))))</f>
        <v/>
      </c>
    </row>
    <row r="126" ht="15" customHeight="1" s="39">
      <c r="A126" s="60" t="n"/>
      <c r="B126" s="60" t="n"/>
      <c r="C126" s="61" t="n"/>
      <c r="D126" s="61" t="n"/>
      <c r="E126" s="60" t="n"/>
      <c r="F126" s="60" t="n"/>
      <c r="G126" s="62" t="n"/>
      <c r="H126" s="62" t="n"/>
      <c r="I126" s="62" t="n"/>
      <c r="J126" s="60" t="n"/>
      <c r="K126" s="60" t="n"/>
      <c r="L126" s="60" t="n"/>
      <c r="M126" s="61" t="n"/>
      <c r="N126" s="60" t="n"/>
      <c r="O126" s="60" t="n"/>
      <c r="P126" s="60" t="n"/>
      <c r="Q126" s="60" t="n"/>
      <c r="R126" s="60" t="n"/>
      <c r="S126" s="60" t="n"/>
      <c r="T126" s="60" t="n"/>
      <c r="U126" s="60" t="n"/>
      <c r="V126" s="60" t="n"/>
      <c r="W126" s="60" t="n"/>
      <c r="X126" s="60" t="n"/>
      <c r="Y126" s="63">
        <f>IF($H126="","",TODAY()-$H126)</f>
        <v/>
      </c>
      <c r="Z126" s="63">
        <f>IF($A126="","",IF(AND($F126="Yes",OR($U126="No",$U126="NOT FOUND")),"YES",""))</f>
        <v/>
      </c>
      <c r="AA126" s="66">
        <f>IF($A126="","",TRIM(IF(AND($P126=0,$L126&lt;&gt;"Yes"),"T0-NoSmartcard ","")&amp;IF(AND($J126&lt;&gt;"",$J126&gt;365),"StalePwd ","")&amp;IF($K126="Yes","PwdNeverExpires ","")&amp;IF(AND($S126&lt;&gt;"",$S126&lt;&gt;"None"),"Delegation ","")&amp;IF(AND($Q126=1,$O126="None"),"StaleAdminCount ","")&amp;IF(AND($F126="Yes",$H126=""),"NeverLoggedOn ","")))</f>
        <v/>
      </c>
      <c r="AB126" s="60" t="n"/>
      <c r="AC126" s="61" t="n"/>
      <c r="AD126" s="60" t="n"/>
      <c r="AE126" s="62" t="n"/>
      <c r="AF126" s="62" t="n"/>
      <c r="AG126" s="62" t="n"/>
      <c r="AH126" s="60" t="n"/>
      <c r="AI126" s="61" t="n"/>
      <c r="AJ126" s="63">
        <f>IF($A126="","",IF(AF126="","Not Enrolled",IF(TODAY()&gt;AF126,"Review Overdue",IF(AF126-TODAY()&lt;=30,"Review Due Soon","Active"))))</f>
        <v/>
      </c>
      <c r="AK126" s="63">
        <f>IF($A126="","",IF(AG126="","NOT REVIEWED",IF(TODAY()-AG126&gt;90,"OVERDUE",IF(TODAY()-AG126&gt;76,"Due Soon","Current"))))</f>
        <v/>
      </c>
    </row>
    <row r="127" ht="15" customHeight="1" s="39">
      <c r="A127" s="60" t="n"/>
      <c r="B127" s="60" t="n"/>
      <c r="C127" s="61" t="n"/>
      <c r="D127" s="61" t="n"/>
      <c r="E127" s="60" t="n"/>
      <c r="F127" s="60" t="n"/>
      <c r="G127" s="62" t="n"/>
      <c r="H127" s="62" t="n"/>
      <c r="I127" s="62" t="n"/>
      <c r="J127" s="60" t="n"/>
      <c r="K127" s="60" t="n"/>
      <c r="L127" s="60" t="n"/>
      <c r="M127" s="61" t="n"/>
      <c r="N127" s="60" t="n"/>
      <c r="O127" s="60" t="n"/>
      <c r="P127" s="60" t="n"/>
      <c r="Q127" s="60" t="n"/>
      <c r="R127" s="60" t="n"/>
      <c r="S127" s="60" t="n"/>
      <c r="T127" s="60" t="n"/>
      <c r="U127" s="60" t="n"/>
      <c r="V127" s="60" t="n"/>
      <c r="W127" s="60" t="n"/>
      <c r="X127" s="60" t="n"/>
      <c r="Y127" s="63">
        <f>IF($H127="","",TODAY()-$H127)</f>
        <v/>
      </c>
      <c r="Z127" s="63">
        <f>IF($A127="","",IF(AND($F127="Yes",OR($U127="No",$U127="NOT FOUND")),"YES",""))</f>
        <v/>
      </c>
      <c r="AA127" s="66">
        <f>IF($A127="","",TRIM(IF(AND($P127=0,$L127&lt;&gt;"Yes"),"T0-NoSmartcard ","")&amp;IF(AND($J127&lt;&gt;"",$J127&gt;365),"StalePwd ","")&amp;IF($K127="Yes","PwdNeverExpires ","")&amp;IF(AND($S127&lt;&gt;"",$S127&lt;&gt;"None"),"Delegation ","")&amp;IF(AND($Q127=1,$O127="None"),"StaleAdminCount ","")&amp;IF(AND($F127="Yes",$H127=""),"NeverLoggedOn ","")))</f>
        <v/>
      </c>
      <c r="AB127" s="60" t="n"/>
      <c r="AC127" s="61" t="n"/>
      <c r="AD127" s="60" t="n"/>
      <c r="AE127" s="62" t="n"/>
      <c r="AF127" s="62" t="n"/>
      <c r="AG127" s="62" t="n"/>
      <c r="AH127" s="60" t="n"/>
      <c r="AI127" s="61" t="n"/>
      <c r="AJ127" s="63">
        <f>IF($A127="","",IF(AF127="","Not Enrolled",IF(TODAY()&gt;AF127,"Review Overdue",IF(AF127-TODAY()&lt;=30,"Review Due Soon","Active"))))</f>
        <v/>
      </c>
      <c r="AK127" s="63">
        <f>IF($A127="","",IF(AG127="","NOT REVIEWED",IF(TODAY()-AG127&gt;90,"OVERDUE",IF(TODAY()-AG127&gt;76,"Due Soon","Current"))))</f>
        <v/>
      </c>
    </row>
    <row r="128" ht="15" customHeight="1" s="39">
      <c r="A128" s="60" t="n"/>
      <c r="B128" s="60" t="n"/>
      <c r="C128" s="61" t="n"/>
      <c r="D128" s="61" t="n"/>
      <c r="E128" s="60" t="n"/>
      <c r="F128" s="60" t="n"/>
      <c r="G128" s="62" t="n"/>
      <c r="H128" s="62" t="n"/>
      <c r="I128" s="62" t="n"/>
      <c r="J128" s="60" t="n"/>
      <c r="K128" s="60" t="n"/>
      <c r="L128" s="60" t="n"/>
      <c r="M128" s="61" t="n"/>
      <c r="N128" s="60" t="n"/>
      <c r="O128" s="60" t="n"/>
      <c r="P128" s="60" t="n"/>
      <c r="Q128" s="60" t="n"/>
      <c r="R128" s="60" t="n"/>
      <c r="S128" s="60" t="n"/>
      <c r="T128" s="60" t="n"/>
      <c r="U128" s="60" t="n"/>
      <c r="V128" s="60" t="n"/>
      <c r="W128" s="60" t="n"/>
      <c r="X128" s="60" t="n"/>
      <c r="Y128" s="63">
        <f>IF($H128="","",TODAY()-$H128)</f>
        <v/>
      </c>
      <c r="Z128" s="63">
        <f>IF($A128="","",IF(AND($F128="Yes",OR($U128="No",$U128="NOT FOUND")),"YES",""))</f>
        <v/>
      </c>
      <c r="AA128" s="66">
        <f>IF($A128="","",TRIM(IF(AND($P128=0,$L128&lt;&gt;"Yes"),"T0-NoSmartcard ","")&amp;IF(AND($J128&lt;&gt;"",$J128&gt;365),"StalePwd ","")&amp;IF($K128="Yes","PwdNeverExpires ","")&amp;IF(AND($S128&lt;&gt;"",$S128&lt;&gt;"None"),"Delegation ","")&amp;IF(AND($Q128=1,$O128="None"),"StaleAdminCount ","")&amp;IF(AND($F128="Yes",$H128=""),"NeverLoggedOn ","")))</f>
        <v/>
      </c>
      <c r="AB128" s="60" t="n"/>
      <c r="AC128" s="61" t="n"/>
      <c r="AD128" s="60" t="n"/>
      <c r="AE128" s="62" t="n"/>
      <c r="AF128" s="62" t="n"/>
      <c r="AG128" s="62" t="n"/>
      <c r="AH128" s="60" t="n"/>
      <c r="AI128" s="61" t="n"/>
      <c r="AJ128" s="63">
        <f>IF($A128="","",IF(AF128="","Not Enrolled",IF(TODAY()&gt;AF128,"Review Overdue",IF(AF128-TODAY()&lt;=30,"Review Due Soon","Active"))))</f>
        <v/>
      </c>
      <c r="AK128" s="63">
        <f>IF($A128="","",IF(AG128="","NOT REVIEWED",IF(TODAY()-AG128&gt;90,"OVERDUE",IF(TODAY()-AG128&gt;76,"Due Soon","Current"))))</f>
        <v/>
      </c>
    </row>
    <row r="129" ht="15" customHeight="1" s="39">
      <c r="A129" s="60" t="n"/>
      <c r="B129" s="60" t="n"/>
      <c r="C129" s="61" t="n"/>
      <c r="D129" s="61" t="n"/>
      <c r="E129" s="60" t="n"/>
      <c r="F129" s="60" t="n"/>
      <c r="G129" s="62" t="n"/>
      <c r="H129" s="62" t="n"/>
      <c r="I129" s="62" t="n"/>
      <c r="J129" s="60" t="n"/>
      <c r="K129" s="60" t="n"/>
      <c r="L129" s="60" t="n"/>
      <c r="M129" s="61" t="n"/>
      <c r="N129" s="60" t="n"/>
      <c r="O129" s="60" t="n"/>
      <c r="P129" s="60" t="n"/>
      <c r="Q129" s="60" t="n"/>
      <c r="R129" s="60" t="n"/>
      <c r="S129" s="60" t="n"/>
      <c r="T129" s="60" t="n"/>
      <c r="U129" s="60" t="n"/>
      <c r="V129" s="60" t="n"/>
      <c r="W129" s="60" t="n"/>
      <c r="X129" s="60" t="n"/>
      <c r="Y129" s="63">
        <f>IF($H129="","",TODAY()-$H129)</f>
        <v/>
      </c>
      <c r="Z129" s="63">
        <f>IF($A129="","",IF(AND($F129="Yes",OR($U129="No",$U129="NOT FOUND")),"YES",""))</f>
        <v/>
      </c>
      <c r="AA129" s="66">
        <f>IF($A129="","",TRIM(IF(AND($P129=0,$L129&lt;&gt;"Yes"),"T0-NoSmartcard ","")&amp;IF(AND($J129&lt;&gt;"",$J129&gt;365),"StalePwd ","")&amp;IF($K129="Yes","PwdNeverExpires ","")&amp;IF(AND($S129&lt;&gt;"",$S129&lt;&gt;"None"),"Delegation ","")&amp;IF(AND($Q129=1,$O129="None"),"StaleAdminCount ","")&amp;IF(AND($F129="Yes",$H129=""),"NeverLoggedOn ","")))</f>
        <v/>
      </c>
      <c r="AB129" s="60" t="n"/>
      <c r="AC129" s="61" t="n"/>
      <c r="AD129" s="60" t="n"/>
      <c r="AE129" s="62" t="n"/>
      <c r="AF129" s="62" t="n"/>
      <c r="AG129" s="62" t="n"/>
      <c r="AH129" s="60" t="n"/>
      <c r="AI129" s="61" t="n"/>
      <c r="AJ129" s="63">
        <f>IF($A129="","",IF(AF129="","Not Enrolled",IF(TODAY()&gt;AF129,"Review Overdue",IF(AF129-TODAY()&lt;=30,"Review Due Soon","Active"))))</f>
        <v/>
      </c>
      <c r="AK129" s="63">
        <f>IF($A129="","",IF(AG129="","NOT REVIEWED",IF(TODAY()-AG129&gt;90,"OVERDUE",IF(TODAY()-AG129&gt;76,"Due Soon","Current"))))</f>
        <v/>
      </c>
    </row>
    <row r="130" ht="15" customHeight="1" s="39">
      <c r="A130" s="60" t="n"/>
      <c r="B130" s="60" t="n"/>
      <c r="C130" s="61" t="n"/>
      <c r="D130" s="61" t="n"/>
      <c r="E130" s="60" t="n"/>
      <c r="F130" s="60" t="n"/>
      <c r="G130" s="62" t="n"/>
      <c r="H130" s="62" t="n"/>
      <c r="I130" s="62" t="n"/>
      <c r="J130" s="60" t="n"/>
      <c r="K130" s="60" t="n"/>
      <c r="L130" s="60" t="n"/>
      <c r="M130" s="61" t="n"/>
      <c r="N130" s="60" t="n"/>
      <c r="O130" s="60" t="n"/>
      <c r="P130" s="60" t="n"/>
      <c r="Q130" s="60" t="n"/>
      <c r="R130" s="60" t="n"/>
      <c r="S130" s="60" t="n"/>
      <c r="T130" s="60" t="n"/>
      <c r="U130" s="60" t="n"/>
      <c r="V130" s="60" t="n"/>
      <c r="W130" s="60" t="n"/>
      <c r="X130" s="60" t="n"/>
      <c r="Y130" s="63">
        <f>IF($H130="","",TODAY()-$H130)</f>
        <v/>
      </c>
      <c r="Z130" s="63">
        <f>IF($A130="","",IF(AND($F130="Yes",OR($U130="No",$U130="NOT FOUND")),"YES",""))</f>
        <v/>
      </c>
      <c r="AA130" s="66">
        <f>IF($A130="","",TRIM(IF(AND($P130=0,$L130&lt;&gt;"Yes"),"T0-NoSmartcard ","")&amp;IF(AND($J130&lt;&gt;"",$J130&gt;365),"StalePwd ","")&amp;IF($K130="Yes","PwdNeverExpires ","")&amp;IF(AND($S130&lt;&gt;"",$S130&lt;&gt;"None"),"Delegation ","")&amp;IF(AND($Q130=1,$O130="None"),"StaleAdminCount ","")&amp;IF(AND($F130="Yes",$H130=""),"NeverLoggedOn ","")))</f>
        <v/>
      </c>
      <c r="AB130" s="60" t="n"/>
      <c r="AC130" s="61" t="n"/>
      <c r="AD130" s="60" t="n"/>
      <c r="AE130" s="62" t="n"/>
      <c r="AF130" s="62" t="n"/>
      <c r="AG130" s="62" t="n"/>
      <c r="AH130" s="60" t="n"/>
      <c r="AI130" s="61" t="n"/>
      <c r="AJ130" s="63">
        <f>IF($A130="","",IF(AF130="","Not Enrolled",IF(TODAY()&gt;AF130,"Review Overdue",IF(AF130-TODAY()&lt;=30,"Review Due Soon","Active"))))</f>
        <v/>
      </c>
      <c r="AK130" s="63">
        <f>IF($A130="","",IF(AG130="","NOT REVIEWED",IF(TODAY()-AG130&gt;90,"OVERDUE",IF(TODAY()-AG130&gt;76,"Due Soon","Current"))))</f>
        <v/>
      </c>
    </row>
    <row r="131" ht="15" customHeight="1" s="39">
      <c r="A131" s="60" t="n"/>
      <c r="B131" s="60" t="n"/>
      <c r="C131" s="61" t="n"/>
      <c r="D131" s="61" t="n"/>
      <c r="E131" s="60" t="n"/>
      <c r="F131" s="60" t="n"/>
      <c r="G131" s="62" t="n"/>
      <c r="H131" s="62" t="n"/>
      <c r="I131" s="62" t="n"/>
      <c r="J131" s="60" t="n"/>
      <c r="K131" s="60" t="n"/>
      <c r="L131" s="60" t="n"/>
      <c r="M131" s="61" t="n"/>
      <c r="N131" s="60" t="n"/>
      <c r="O131" s="60" t="n"/>
      <c r="P131" s="60" t="n"/>
      <c r="Q131" s="60" t="n"/>
      <c r="R131" s="60" t="n"/>
      <c r="S131" s="60" t="n"/>
      <c r="T131" s="60" t="n"/>
      <c r="U131" s="60" t="n"/>
      <c r="V131" s="60" t="n"/>
      <c r="W131" s="60" t="n"/>
      <c r="X131" s="60" t="n"/>
      <c r="Y131" s="63">
        <f>IF($H131="","",TODAY()-$H131)</f>
        <v/>
      </c>
      <c r="Z131" s="63">
        <f>IF($A131="","",IF(AND($F131="Yes",OR($U131="No",$U131="NOT FOUND")),"YES",""))</f>
        <v/>
      </c>
      <c r="AA131" s="66">
        <f>IF($A131="","",TRIM(IF(AND($P131=0,$L131&lt;&gt;"Yes"),"T0-NoSmartcard ","")&amp;IF(AND($J131&lt;&gt;"",$J131&gt;365),"StalePwd ","")&amp;IF($K131="Yes","PwdNeverExpires ","")&amp;IF(AND($S131&lt;&gt;"",$S131&lt;&gt;"None"),"Delegation ","")&amp;IF(AND($Q131=1,$O131="None"),"StaleAdminCount ","")&amp;IF(AND($F131="Yes",$H131=""),"NeverLoggedOn ","")))</f>
        <v/>
      </c>
      <c r="AB131" s="60" t="n"/>
      <c r="AC131" s="61" t="n"/>
      <c r="AD131" s="60" t="n"/>
      <c r="AE131" s="62" t="n"/>
      <c r="AF131" s="62" t="n"/>
      <c r="AG131" s="62" t="n"/>
      <c r="AH131" s="60" t="n"/>
      <c r="AI131" s="61" t="n"/>
      <c r="AJ131" s="63">
        <f>IF($A131="","",IF(AF131="","Not Enrolled",IF(TODAY()&gt;AF131,"Review Overdue",IF(AF131-TODAY()&lt;=30,"Review Due Soon","Active"))))</f>
        <v/>
      </c>
      <c r="AK131" s="63">
        <f>IF($A131="","",IF(AG131="","NOT REVIEWED",IF(TODAY()-AG131&gt;90,"OVERDUE",IF(TODAY()-AG131&gt;76,"Due Soon","Current"))))</f>
        <v/>
      </c>
    </row>
    <row r="132" ht="15" customHeight="1" s="39">
      <c r="A132" s="60" t="n"/>
      <c r="B132" s="60" t="n"/>
      <c r="C132" s="61" t="n"/>
      <c r="D132" s="61" t="n"/>
      <c r="E132" s="60" t="n"/>
      <c r="F132" s="60" t="n"/>
      <c r="G132" s="62" t="n"/>
      <c r="H132" s="62" t="n"/>
      <c r="I132" s="62" t="n"/>
      <c r="J132" s="60" t="n"/>
      <c r="K132" s="60" t="n"/>
      <c r="L132" s="60" t="n"/>
      <c r="M132" s="61" t="n"/>
      <c r="N132" s="60" t="n"/>
      <c r="O132" s="60" t="n"/>
      <c r="P132" s="60" t="n"/>
      <c r="Q132" s="60" t="n"/>
      <c r="R132" s="60" t="n"/>
      <c r="S132" s="60" t="n"/>
      <c r="T132" s="60" t="n"/>
      <c r="U132" s="60" t="n"/>
      <c r="V132" s="60" t="n"/>
      <c r="W132" s="60" t="n"/>
      <c r="X132" s="60" t="n"/>
      <c r="Y132" s="63">
        <f>IF($H132="","",TODAY()-$H132)</f>
        <v/>
      </c>
      <c r="Z132" s="63">
        <f>IF($A132="","",IF(AND($F132="Yes",OR($U132="No",$U132="NOT FOUND")),"YES",""))</f>
        <v/>
      </c>
      <c r="AA132" s="66">
        <f>IF($A132="","",TRIM(IF(AND($P132=0,$L132&lt;&gt;"Yes"),"T0-NoSmartcard ","")&amp;IF(AND($J132&lt;&gt;"",$J132&gt;365),"StalePwd ","")&amp;IF($K132="Yes","PwdNeverExpires ","")&amp;IF(AND($S132&lt;&gt;"",$S132&lt;&gt;"None"),"Delegation ","")&amp;IF(AND($Q132=1,$O132="None"),"StaleAdminCount ","")&amp;IF(AND($F132="Yes",$H132=""),"NeverLoggedOn ","")))</f>
        <v/>
      </c>
      <c r="AB132" s="60" t="n"/>
      <c r="AC132" s="61" t="n"/>
      <c r="AD132" s="60" t="n"/>
      <c r="AE132" s="62" t="n"/>
      <c r="AF132" s="62" t="n"/>
      <c r="AG132" s="62" t="n"/>
      <c r="AH132" s="60" t="n"/>
      <c r="AI132" s="61" t="n"/>
      <c r="AJ132" s="63">
        <f>IF($A132="","",IF(AF132="","Not Enrolled",IF(TODAY()&gt;AF132,"Review Overdue",IF(AF132-TODAY()&lt;=30,"Review Due Soon","Active"))))</f>
        <v/>
      </c>
      <c r="AK132" s="63">
        <f>IF($A132="","",IF(AG132="","NOT REVIEWED",IF(TODAY()-AG132&gt;90,"OVERDUE",IF(TODAY()-AG132&gt;76,"Due Soon","Current"))))</f>
        <v/>
      </c>
    </row>
    <row r="133" ht="15" customHeight="1" s="39">
      <c r="A133" s="60" t="n"/>
      <c r="B133" s="60" t="n"/>
      <c r="C133" s="61" t="n"/>
      <c r="D133" s="61" t="n"/>
      <c r="E133" s="60" t="n"/>
      <c r="F133" s="60" t="n"/>
      <c r="G133" s="62" t="n"/>
      <c r="H133" s="62" t="n"/>
      <c r="I133" s="62" t="n"/>
      <c r="J133" s="60" t="n"/>
      <c r="K133" s="60" t="n"/>
      <c r="L133" s="60" t="n"/>
      <c r="M133" s="61" t="n"/>
      <c r="N133" s="60" t="n"/>
      <c r="O133" s="60" t="n"/>
      <c r="P133" s="60" t="n"/>
      <c r="Q133" s="60" t="n"/>
      <c r="R133" s="60" t="n"/>
      <c r="S133" s="60" t="n"/>
      <c r="T133" s="60" t="n"/>
      <c r="U133" s="60" t="n"/>
      <c r="V133" s="60" t="n"/>
      <c r="W133" s="60" t="n"/>
      <c r="X133" s="60" t="n"/>
      <c r="Y133" s="63">
        <f>IF($H133="","",TODAY()-$H133)</f>
        <v/>
      </c>
      <c r="Z133" s="63">
        <f>IF($A133="","",IF(AND($F133="Yes",OR($U133="No",$U133="NOT FOUND")),"YES",""))</f>
        <v/>
      </c>
      <c r="AA133" s="66">
        <f>IF($A133="","",TRIM(IF(AND($P133=0,$L133&lt;&gt;"Yes"),"T0-NoSmartcard ","")&amp;IF(AND($J133&lt;&gt;"",$J133&gt;365),"StalePwd ","")&amp;IF($K133="Yes","PwdNeverExpires ","")&amp;IF(AND($S133&lt;&gt;"",$S133&lt;&gt;"None"),"Delegation ","")&amp;IF(AND($Q133=1,$O133="None"),"StaleAdminCount ","")&amp;IF(AND($F133="Yes",$H133=""),"NeverLoggedOn ","")))</f>
        <v/>
      </c>
      <c r="AB133" s="60" t="n"/>
      <c r="AC133" s="61" t="n"/>
      <c r="AD133" s="60" t="n"/>
      <c r="AE133" s="62" t="n"/>
      <c r="AF133" s="62" t="n"/>
      <c r="AG133" s="62" t="n"/>
      <c r="AH133" s="60" t="n"/>
      <c r="AI133" s="61" t="n"/>
      <c r="AJ133" s="63">
        <f>IF($A133="","",IF(AF133="","Not Enrolled",IF(TODAY()&gt;AF133,"Review Overdue",IF(AF133-TODAY()&lt;=30,"Review Due Soon","Active"))))</f>
        <v/>
      </c>
      <c r="AK133" s="63">
        <f>IF($A133="","",IF(AG133="","NOT REVIEWED",IF(TODAY()-AG133&gt;90,"OVERDUE",IF(TODAY()-AG133&gt;76,"Due Soon","Current"))))</f>
        <v/>
      </c>
    </row>
    <row r="134" ht="15" customHeight="1" s="39">
      <c r="A134" s="60" t="n"/>
      <c r="B134" s="60" t="n"/>
      <c r="C134" s="61" t="n"/>
      <c r="D134" s="61" t="n"/>
      <c r="E134" s="60" t="n"/>
      <c r="F134" s="60" t="n"/>
      <c r="G134" s="62" t="n"/>
      <c r="H134" s="62" t="n"/>
      <c r="I134" s="62" t="n"/>
      <c r="J134" s="60" t="n"/>
      <c r="K134" s="60" t="n"/>
      <c r="L134" s="60" t="n"/>
      <c r="M134" s="61" t="n"/>
      <c r="N134" s="60" t="n"/>
      <c r="O134" s="60" t="n"/>
      <c r="P134" s="60" t="n"/>
      <c r="Q134" s="60" t="n"/>
      <c r="R134" s="60" t="n"/>
      <c r="S134" s="60" t="n"/>
      <c r="T134" s="60" t="n"/>
      <c r="U134" s="60" t="n"/>
      <c r="V134" s="60" t="n"/>
      <c r="W134" s="60" t="n"/>
      <c r="X134" s="60" t="n"/>
      <c r="Y134" s="63">
        <f>IF($H134="","",TODAY()-$H134)</f>
        <v/>
      </c>
      <c r="Z134" s="63">
        <f>IF($A134="","",IF(AND($F134="Yes",OR($U134="No",$U134="NOT FOUND")),"YES",""))</f>
        <v/>
      </c>
      <c r="AA134" s="66">
        <f>IF($A134="","",TRIM(IF(AND($P134=0,$L134&lt;&gt;"Yes"),"T0-NoSmartcard ","")&amp;IF(AND($J134&lt;&gt;"",$J134&gt;365),"StalePwd ","")&amp;IF($K134="Yes","PwdNeverExpires ","")&amp;IF(AND($S134&lt;&gt;"",$S134&lt;&gt;"None"),"Delegation ","")&amp;IF(AND($Q134=1,$O134="None"),"StaleAdminCount ","")&amp;IF(AND($F134="Yes",$H134=""),"NeverLoggedOn ","")))</f>
        <v/>
      </c>
      <c r="AB134" s="60" t="n"/>
      <c r="AC134" s="61" t="n"/>
      <c r="AD134" s="60" t="n"/>
      <c r="AE134" s="62" t="n"/>
      <c r="AF134" s="62" t="n"/>
      <c r="AG134" s="62" t="n"/>
      <c r="AH134" s="60" t="n"/>
      <c r="AI134" s="61" t="n"/>
      <c r="AJ134" s="63">
        <f>IF($A134="","",IF(AF134="","Not Enrolled",IF(TODAY()&gt;AF134,"Review Overdue",IF(AF134-TODAY()&lt;=30,"Review Due Soon","Active"))))</f>
        <v/>
      </c>
      <c r="AK134" s="63">
        <f>IF($A134="","",IF(AG134="","NOT REVIEWED",IF(TODAY()-AG134&gt;90,"OVERDUE",IF(TODAY()-AG134&gt;76,"Due Soon","Current"))))</f>
        <v/>
      </c>
    </row>
    <row r="135" ht="15" customHeight="1" s="39">
      <c r="A135" s="60" t="n"/>
      <c r="B135" s="60" t="n"/>
      <c r="C135" s="61" t="n"/>
      <c r="D135" s="61" t="n"/>
      <c r="E135" s="60" t="n"/>
      <c r="F135" s="60" t="n"/>
      <c r="G135" s="62" t="n"/>
      <c r="H135" s="62" t="n"/>
      <c r="I135" s="62" t="n"/>
      <c r="J135" s="60" t="n"/>
      <c r="K135" s="60" t="n"/>
      <c r="L135" s="60" t="n"/>
      <c r="M135" s="61" t="n"/>
      <c r="N135" s="60" t="n"/>
      <c r="O135" s="60" t="n"/>
      <c r="P135" s="60" t="n"/>
      <c r="Q135" s="60" t="n"/>
      <c r="R135" s="60" t="n"/>
      <c r="S135" s="60" t="n"/>
      <c r="T135" s="60" t="n"/>
      <c r="U135" s="60" t="n"/>
      <c r="V135" s="60" t="n"/>
      <c r="W135" s="60" t="n"/>
      <c r="X135" s="60" t="n"/>
      <c r="Y135" s="63">
        <f>IF($H135="","",TODAY()-$H135)</f>
        <v/>
      </c>
      <c r="Z135" s="63">
        <f>IF($A135="","",IF(AND($F135="Yes",OR($U135="No",$U135="NOT FOUND")),"YES",""))</f>
        <v/>
      </c>
      <c r="AA135" s="66">
        <f>IF($A135="","",TRIM(IF(AND($P135=0,$L135&lt;&gt;"Yes"),"T0-NoSmartcard ","")&amp;IF(AND($J135&lt;&gt;"",$J135&gt;365),"StalePwd ","")&amp;IF($K135="Yes","PwdNeverExpires ","")&amp;IF(AND($S135&lt;&gt;"",$S135&lt;&gt;"None"),"Delegation ","")&amp;IF(AND($Q135=1,$O135="None"),"StaleAdminCount ","")&amp;IF(AND($F135="Yes",$H135=""),"NeverLoggedOn ","")))</f>
        <v/>
      </c>
      <c r="AB135" s="60" t="n"/>
      <c r="AC135" s="61" t="n"/>
      <c r="AD135" s="60" t="n"/>
      <c r="AE135" s="62" t="n"/>
      <c r="AF135" s="62" t="n"/>
      <c r="AG135" s="62" t="n"/>
      <c r="AH135" s="60" t="n"/>
      <c r="AI135" s="61" t="n"/>
      <c r="AJ135" s="63">
        <f>IF($A135="","",IF(AF135="","Not Enrolled",IF(TODAY()&gt;AF135,"Review Overdue",IF(AF135-TODAY()&lt;=30,"Review Due Soon","Active"))))</f>
        <v/>
      </c>
      <c r="AK135" s="63">
        <f>IF($A135="","",IF(AG135="","NOT REVIEWED",IF(TODAY()-AG135&gt;90,"OVERDUE",IF(TODAY()-AG135&gt;76,"Due Soon","Current"))))</f>
        <v/>
      </c>
    </row>
    <row r="136" ht="15" customHeight="1" s="39">
      <c r="A136" s="60" t="n"/>
      <c r="B136" s="60" t="n"/>
      <c r="C136" s="61" t="n"/>
      <c r="D136" s="61" t="n"/>
      <c r="E136" s="60" t="n"/>
      <c r="F136" s="60" t="n"/>
      <c r="G136" s="62" t="n"/>
      <c r="H136" s="62" t="n"/>
      <c r="I136" s="62" t="n"/>
      <c r="J136" s="60" t="n"/>
      <c r="K136" s="60" t="n"/>
      <c r="L136" s="60" t="n"/>
      <c r="M136" s="61" t="n"/>
      <c r="N136" s="60" t="n"/>
      <c r="O136" s="60" t="n"/>
      <c r="P136" s="60" t="n"/>
      <c r="Q136" s="60" t="n"/>
      <c r="R136" s="60" t="n"/>
      <c r="S136" s="60" t="n"/>
      <c r="T136" s="60" t="n"/>
      <c r="U136" s="60" t="n"/>
      <c r="V136" s="60" t="n"/>
      <c r="W136" s="60" t="n"/>
      <c r="X136" s="60" t="n"/>
      <c r="Y136" s="63">
        <f>IF($H136="","",TODAY()-$H136)</f>
        <v/>
      </c>
      <c r="Z136" s="63">
        <f>IF($A136="","",IF(AND($F136="Yes",OR($U136="No",$U136="NOT FOUND")),"YES",""))</f>
        <v/>
      </c>
      <c r="AA136" s="66">
        <f>IF($A136="","",TRIM(IF(AND($P136=0,$L136&lt;&gt;"Yes"),"T0-NoSmartcard ","")&amp;IF(AND($J136&lt;&gt;"",$J136&gt;365),"StalePwd ","")&amp;IF($K136="Yes","PwdNeverExpires ","")&amp;IF(AND($S136&lt;&gt;"",$S136&lt;&gt;"None"),"Delegation ","")&amp;IF(AND($Q136=1,$O136="None"),"StaleAdminCount ","")&amp;IF(AND($F136="Yes",$H136=""),"NeverLoggedOn ","")))</f>
        <v/>
      </c>
      <c r="AB136" s="60" t="n"/>
      <c r="AC136" s="61" t="n"/>
      <c r="AD136" s="60" t="n"/>
      <c r="AE136" s="62" t="n"/>
      <c r="AF136" s="62" t="n"/>
      <c r="AG136" s="62" t="n"/>
      <c r="AH136" s="60" t="n"/>
      <c r="AI136" s="61" t="n"/>
      <c r="AJ136" s="63">
        <f>IF($A136="","",IF(AF136="","Not Enrolled",IF(TODAY()&gt;AF136,"Review Overdue",IF(AF136-TODAY()&lt;=30,"Review Due Soon","Active"))))</f>
        <v/>
      </c>
      <c r="AK136" s="63">
        <f>IF($A136="","",IF(AG136="","NOT REVIEWED",IF(TODAY()-AG136&gt;90,"OVERDUE",IF(TODAY()-AG136&gt;76,"Due Soon","Current"))))</f>
        <v/>
      </c>
    </row>
    <row r="137" ht="15" customHeight="1" s="39">
      <c r="A137" s="60" t="n"/>
      <c r="B137" s="60" t="n"/>
      <c r="C137" s="61" t="n"/>
      <c r="D137" s="61" t="n"/>
      <c r="E137" s="60" t="n"/>
      <c r="F137" s="60" t="n"/>
      <c r="G137" s="62" t="n"/>
      <c r="H137" s="62" t="n"/>
      <c r="I137" s="62" t="n"/>
      <c r="J137" s="60" t="n"/>
      <c r="K137" s="60" t="n"/>
      <c r="L137" s="60" t="n"/>
      <c r="M137" s="61" t="n"/>
      <c r="N137" s="60" t="n"/>
      <c r="O137" s="60" t="n"/>
      <c r="P137" s="60" t="n"/>
      <c r="Q137" s="60" t="n"/>
      <c r="R137" s="60" t="n"/>
      <c r="S137" s="60" t="n"/>
      <c r="T137" s="60" t="n"/>
      <c r="U137" s="60" t="n"/>
      <c r="V137" s="60" t="n"/>
      <c r="W137" s="60" t="n"/>
      <c r="X137" s="60" t="n"/>
      <c r="Y137" s="63">
        <f>IF($H137="","",TODAY()-$H137)</f>
        <v/>
      </c>
      <c r="Z137" s="63">
        <f>IF($A137="","",IF(AND($F137="Yes",OR($U137="No",$U137="NOT FOUND")),"YES",""))</f>
        <v/>
      </c>
      <c r="AA137" s="66">
        <f>IF($A137="","",TRIM(IF(AND($P137=0,$L137&lt;&gt;"Yes"),"T0-NoSmartcard ","")&amp;IF(AND($J137&lt;&gt;"",$J137&gt;365),"StalePwd ","")&amp;IF($K137="Yes","PwdNeverExpires ","")&amp;IF(AND($S137&lt;&gt;"",$S137&lt;&gt;"None"),"Delegation ","")&amp;IF(AND($Q137=1,$O137="None"),"StaleAdminCount ","")&amp;IF(AND($F137="Yes",$H137=""),"NeverLoggedOn ","")))</f>
        <v/>
      </c>
      <c r="AB137" s="60" t="n"/>
      <c r="AC137" s="61" t="n"/>
      <c r="AD137" s="60" t="n"/>
      <c r="AE137" s="62" t="n"/>
      <c r="AF137" s="62" t="n"/>
      <c r="AG137" s="62" t="n"/>
      <c r="AH137" s="60" t="n"/>
      <c r="AI137" s="61" t="n"/>
      <c r="AJ137" s="63">
        <f>IF($A137="","",IF(AF137="","Not Enrolled",IF(TODAY()&gt;AF137,"Review Overdue",IF(AF137-TODAY()&lt;=30,"Review Due Soon","Active"))))</f>
        <v/>
      </c>
      <c r="AK137" s="63">
        <f>IF($A137="","",IF(AG137="","NOT REVIEWED",IF(TODAY()-AG137&gt;90,"OVERDUE",IF(TODAY()-AG137&gt;76,"Due Soon","Current"))))</f>
        <v/>
      </c>
    </row>
    <row r="138" ht="15" customHeight="1" s="39">
      <c r="A138" s="60" t="n"/>
      <c r="B138" s="60" t="n"/>
      <c r="C138" s="61" t="n"/>
      <c r="D138" s="61" t="n"/>
      <c r="E138" s="60" t="n"/>
      <c r="F138" s="60" t="n"/>
      <c r="G138" s="62" t="n"/>
      <c r="H138" s="62" t="n"/>
      <c r="I138" s="62" t="n"/>
      <c r="J138" s="60" t="n"/>
      <c r="K138" s="60" t="n"/>
      <c r="L138" s="60" t="n"/>
      <c r="M138" s="61" t="n"/>
      <c r="N138" s="60" t="n"/>
      <c r="O138" s="60" t="n"/>
      <c r="P138" s="60" t="n"/>
      <c r="Q138" s="60" t="n"/>
      <c r="R138" s="60" t="n"/>
      <c r="S138" s="60" t="n"/>
      <c r="T138" s="60" t="n"/>
      <c r="U138" s="60" t="n"/>
      <c r="V138" s="60" t="n"/>
      <c r="W138" s="60" t="n"/>
      <c r="X138" s="60" t="n"/>
      <c r="Y138" s="63">
        <f>IF($H138="","",TODAY()-$H138)</f>
        <v/>
      </c>
      <c r="Z138" s="63">
        <f>IF($A138="","",IF(AND($F138="Yes",OR($U138="No",$U138="NOT FOUND")),"YES",""))</f>
        <v/>
      </c>
      <c r="AA138" s="66">
        <f>IF($A138="","",TRIM(IF(AND($P138=0,$L138&lt;&gt;"Yes"),"T0-NoSmartcard ","")&amp;IF(AND($J138&lt;&gt;"",$J138&gt;365),"StalePwd ","")&amp;IF($K138="Yes","PwdNeverExpires ","")&amp;IF(AND($S138&lt;&gt;"",$S138&lt;&gt;"None"),"Delegation ","")&amp;IF(AND($Q138=1,$O138="None"),"StaleAdminCount ","")&amp;IF(AND($F138="Yes",$H138=""),"NeverLoggedOn ","")))</f>
        <v/>
      </c>
      <c r="AB138" s="60" t="n"/>
      <c r="AC138" s="61" t="n"/>
      <c r="AD138" s="60" t="n"/>
      <c r="AE138" s="62" t="n"/>
      <c r="AF138" s="62" t="n"/>
      <c r="AG138" s="62" t="n"/>
      <c r="AH138" s="60" t="n"/>
      <c r="AI138" s="61" t="n"/>
      <c r="AJ138" s="63">
        <f>IF($A138="","",IF(AF138="","Not Enrolled",IF(TODAY()&gt;AF138,"Review Overdue",IF(AF138-TODAY()&lt;=30,"Review Due Soon","Active"))))</f>
        <v/>
      </c>
      <c r="AK138" s="63">
        <f>IF($A138="","",IF(AG138="","NOT REVIEWED",IF(TODAY()-AG138&gt;90,"OVERDUE",IF(TODAY()-AG138&gt;76,"Due Soon","Current"))))</f>
        <v/>
      </c>
    </row>
    <row r="139" ht="15" customHeight="1" s="39">
      <c r="A139" s="60" t="n"/>
      <c r="B139" s="60" t="n"/>
      <c r="C139" s="61" t="n"/>
      <c r="D139" s="61" t="n"/>
      <c r="E139" s="60" t="n"/>
      <c r="F139" s="60" t="n"/>
      <c r="G139" s="62" t="n"/>
      <c r="H139" s="62" t="n"/>
      <c r="I139" s="62" t="n"/>
      <c r="J139" s="60" t="n"/>
      <c r="K139" s="60" t="n"/>
      <c r="L139" s="60" t="n"/>
      <c r="M139" s="61" t="n"/>
      <c r="N139" s="60" t="n"/>
      <c r="O139" s="60" t="n"/>
      <c r="P139" s="60" t="n"/>
      <c r="Q139" s="60" t="n"/>
      <c r="R139" s="60" t="n"/>
      <c r="S139" s="60" t="n"/>
      <c r="T139" s="60" t="n"/>
      <c r="U139" s="60" t="n"/>
      <c r="V139" s="60" t="n"/>
      <c r="W139" s="60" t="n"/>
      <c r="X139" s="60" t="n"/>
      <c r="Y139" s="63">
        <f>IF($H139="","",TODAY()-$H139)</f>
        <v/>
      </c>
      <c r="Z139" s="63">
        <f>IF($A139="","",IF(AND($F139="Yes",OR($U139="No",$U139="NOT FOUND")),"YES",""))</f>
        <v/>
      </c>
      <c r="AA139" s="66">
        <f>IF($A139="","",TRIM(IF(AND($P139=0,$L139&lt;&gt;"Yes"),"T0-NoSmartcard ","")&amp;IF(AND($J139&lt;&gt;"",$J139&gt;365),"StalePwd ","")&amp;IF($K139="Yes","PwdNeverExpires ","")&amp;IF(AND($S139&lt;&gt;"",$S139&lt;&gt;"None"),"Delegation ","")&amp;IF(AND($Q139=1,$O139="None"),"StaleAdminCount ","")&amp;IF(AND($F139="Yes",$H139=""),"NeverLoggedOn ","")))</f>
        <v/>
      </c>
      <c r="AB139" s="60" t="n"/>
      <c r="AC139" s="61" t="n"/>
      <c r="AD139" s="60" t="n"/>
      <c r="AE139" s="62" t="n"/>
      <c r="AF139" s="62" t="n"/>
      <c r="AG139" s="62" t="n"/>
      <c r="AH139" s="60" t="n"/>
      <c r="AI139" s="61" t="n"/>
      <c r="AJ139" s="63">
        <f>IF($A139="","",IF(AF139="","Not Enrolled",IF(TODAY()&gt;AF139,"Review Overdue",IF(AF139-TODAY()&lt;=30,"Review Due Soon","Active"))))</f>
        <v/>
      </c>
      <c r="AK139" s="63">
        <f>IF($A139="","",IF(AG139="","NOT REVIEWED",IF(TODAY()-AG139&gt;90,"OVERDUE",IF(TODAY()-AG139&gt;76,"Due Soon","Current"))))</f>
        <v/>
      </c>
    </row>
    <row r="140" ht="15" customHeight="1" s="39">
      <c r="A140" s="60" t="n"/>
      <c r="B140" s="60" t="n"/>
      <c r="C140" s="61" t="n"/>
      <c r="D140" s="61" t="n"/>
      <c r="E140" s="60" t="n"/>
      <c r="F140" s="60" t="n"/>
      <c r="G140" s="62" t="n"/>
      <c r="H140" s="62" t="n"/>
      <c r="I140" s="62" t="n"/>
      <c r="J140" s="60" t="n"/>
      <c r="K140" s="60" t="n"/>
      <c r="L140" s="60" t="n"/>
      <c r="M140" s="61" t="n"/>
      <c r="N140" s="60" t="n"/>
      <c r="O140" s="60" t="n"/>
      <c r="P140" s="60" t="n"/>
      <c r="Q140" s="60" t="n"/>
      <c r="R140" s="60" t="n"/>
      <c r="S140" s="60" t="n"/>
      <c r="T140" s="60" t="n"/>
      <c r="U140" s="60" t="n"/>
      <c r="V140" s="60" t="n"/>
      <c r="W140" s="60" t="n"/>
      <c r="X140" s="60" t="n"/>
      <c r="Y140" s="63">
        <f>IF($H140="","",TODAY()-$H140)</f>
        <v/>
      </c>
      <c r="Z140" s="63">
        <f>IF($A140="","",IF(AND($F140="Yes",OR($U140="No",$U140="NOT FOUND")),"YES",""))</f>
        <v/>
      </c>
      <c r="AA140" s="66">
        <f>IF($A140="","",TRIM(IF(AND($P140=0,$L140&lt;&gt;"Yes"),"T0-NoSmartcard ","")&amp;IF(AND($J140&lt;&gt;"",$J140&gt;365),"StalePwd ","")&amp;IF($K140="Yes","PwdNeverExpires ","")&amp;IF(AND($S140&lt;&gt;"",$S140&lt;&gt;"None"),"Delegation ","")&amp;IF(AND($Q140=1,$O140="None"),"StaleAdminCount ","")&amp;IF(AND($F140="Yes",$H140=""),"NeverLoggedOn ","")))</f>
        <v/>
      </c>
      <c r="AB140" s="60" t="n"/>
      <c r="AC140" s="61" t="n"/>
      <c r="AD140" s="60" t="n"/>
      <c r="AE140" s="62" t="n"/>
      <c r="AF140" s="62" t="n"/>
      <c r="AG140" s="62" t="n"/>
      <c r="AH140" s="60" t="n"/>
      <c r="AI140" s="61" t="n"/>
      <c r="AJ140" s="63">
        <f>IF($A140="","",IF(AF140="","Not Enrolled",IF(TODAY()&gt;AF140,"Review Overdue",IF(AF140-TODAY()&lt;=30,"Review Due Soon","Active"))))</f>
        <v/>
      </c>
      <c r="AK140" s="63">
        <f>IF($A140="","",IF(AG140="","NOT REVIEWED",IF(TODAY()-AG140&gt;90,"OVERDUE",IF(TODAY()-AG140&gt;76,"Due Soon","Current"))))</f>
        <v/>
      </c>
    </row>
    <row r="141" ht="15" customHeight="1" s="39">
      <c r="A141" s="60" t="n"/>
      <c r="B141" s="60" t="n"/>
      <c r="C141" s="61" t="n"/>
      <c r="D141" s="61" t="n"/>
      <c r="E141" s="60" t="n"/>
      <c r="F141" s="60" t="n"/>
      <c r="G141" s="62" t="n"/>
      <c r="H141" s="62" t="n"/>
      <c r="I141" s="62" t="n"/>
      <c r="J141" s="60" t="n"/>
      <c r="K141" s="60" t="n"/>
      <c r="L141" s="60" t="n"/>
      <c r="M141" s="61" t="n"/>
      <c r="N141" s="60" t="n"/>
      <c r="O141" s="60" t="n"/>
      <c r="P141" s="60" t="n"/>
      <c r="Q141" s="60" t="n"/>
      <c r="R141" s="60" t="n"/>
      <c r="S141" s="60" t="n"/>
      <c r="T141" s="60" t="n"/>
      <c r="U141" s="60" t="n"/>
      <c r="V141" s="60" t="n"/>
      <c r="W141" s="60" t="n"/>
      <c r="X141" s="60" t="n"/>
      <c r="Y141" s="63">
        <f>IF($H141="","",TODAY()-$H141)</f>
        <v/>
      </c>
      <c r="Z141" s="63">
        <f>IF($A141="","",IF(AND($F141="Yes",OR($U141="No",$U141="NOT FOUND")),"YES",""))</f>
        <v/>
      </c>
      <c r="AA141" s="66">
        <f>IF($A141="","",TRIM(IF(AND($P141=0,$L141&lt;&gt;"Yes"),"T0-NoSmartcard ","")&amp;IF(AND($J141&lt;&gt;"",$J141&gt;365),"StalePwd ","")&amp;IF($K141="Yes","PwdNeverExpires ","")&amp;IF(AND($S141&lt;&gt;"",$S141&lt;&gt;"None"),"Delegation ","")&amp;IF(AND($Q141=1,$O141="None"),"StaleAdminCount ","")&amp;IF(AND($F141="Yes",$H141=""),"NeverLoggedOn ","")))</f>
        <v/>
      </c>
      <c r="AB141" s="60" t="n"/>
      <c r="AC141" s="61" t="n"/>
      <c r="AD141" s="60" t="n"/>
      <c r="AE141" s="62" t="n"/>
      <c r="AF141" s="62" t="n"/>
      <c r="AG141" s="62" t="n"/>
      <c r="AH141" s="60" t="n"/>
      <c r="AI141" s="61" t="n"/>
      <c r="AJ141" s="63">
        <f>IF($A141="","",IF(AF141="","Not Enrolled",IF(TODAY()&gt;AF141,"Review Overdue",IF(AF141-TODAY()&lt;=30,"Review Due Soon","Active"))))</f>
        <v/>
      </c>
      <c r="AK141" s="63">
        <f>IF($A141="","",IF(AG141="","NOT REVIEWED",IF(TODAY()-AG141&gt;90,"OVERDUE",IF(TODAY()-AG141&gt;76,"Due Soon","Current"))))</f>
        <v/>
      </c>
    </row>
    <row r="142" ht="15" customHeight="1" s="39">
      <c r="A142" s="60" t="n"/>
      <c r="B142" s="60" t="n"/>
      <c r="C142" s="61" t="n"/>
      <c r="D142" s="61" t="n"/>
      <c r="E142" s="60" t="n"/>
      <c r="F142" s="60" t="n"/>
      <c r="G142" s="62" t="n"/>
      <c r="H142" s="62" t="n"/>
      <c r="I142" s="62" t="n"/>
      <c r="J142" s="60" t="n"/>
      <c r="K142" s="60" t="n"/>
      <c r="L142" s="60" t="n"/>
      <c r="M142" s="61" t="n"/>
      <c r="N142" s="60" t="n"/>
      <c r="O142" s="60" t="n"/>
      <c r="P142" s="60" t="n"/>
      <c r="Q142" s="60" t="n"/>
      <c r="R142" s="60" t="n"/>
      <c r="S142" s="60" t="n"/>
      <c r="T142" s="60" t="n"/>
      <c r="U142" s="60" t="n"/>
      <c r="V142" s="60" t="n"/>
      <c r="W142" s="60" t="n"/>
      <c r="X142" s="60" t="n"/>
      <c r="Y142" s="63">
        <f>IF($H142="","",TODAY()-$H142)</f>
        <v/>
      </c>
      <c r="Z142" s="63">
        <f>IF($A142="","",IF(AND($F142="Yes",OR($U142="No",$U142="NOT FOUND")),"YES",""))</f>
        <v/>
      </c>
      <c r="AA142" s="66">
        <f>IF($A142="","",TRIM(IF(AND($P142=0,$L142&lt;&gt;"Yes"),"T0-NoSmartcard ","")&amp;IF(AND($J142&lt;&gt;"",$J142&gt;365),"StalePwd ","")&amp;IF($K142="Yes","PwdNeverExpires ","")&amp;IF(AND($S142&lt;&gt;"",$S142&lt;&gt;"None"),"Delegation ","")&amp;IF(AND($Q142=1,$O142="None"),"StaleAdminCount ","")&amp;IF(AND($F142="Yes",$H142=""),"NeverLoggedOn ","")))</f>
        <v/>
      </c>
      <c r="AB142" s="60" t="n"/>
      <c r="AC142" s="61" t="n"/>
      <c r="AD142" s="60" t="n"/>
      <c r="AE142" s="62" t="n"/>
      <c r="AF142" s="62" t="n"/>
      <c r="AG142" s="62" t="n"/>
      <c r="AH142" s="60" t="n"/>
      <c r="AI142" s="61" t="n"/>
      <c r="AJ142" s="63">
        <f>IF($A142="","",IF(AF142="","Not Enrolled",IF(TODAY()&gt;AF142,"Review Overdue",IF(AF142-TODAY()&lt;=30,"Review Due Soon","Active"))))</f>
        <v/>
      </c>
      <c r="AK142" s="63">
        <f>IF($A142="","",IF(AG142="","NOT REVIEWED",IF(TODAY()-AG142&gt;90,"OVERDUE",IF(TODAY()-AG142&gt;76,"Due Soon","Current"))))</f>
        <v/>
      </c>
    </row>
    <row r="143" ht="15" customHeight="1" s="39">
      <c r="A143" s="60" t="n"/>
      <c r="B143" s="60" t="n"/>
      <c r="C143" s="61" t="n"/>
      <c r="D143" s="61" t="n"/>
      <c r="E143" s="60" t="n"/>
      <c r="F143" s="60" t="n"/>
      <c r="G143" s="62" t="n"/>
      <c r="H143" s="62" t="n"/>
      <c r="I143" s="62" t="n"/>
      <c r="J143" s="60" t="n"/>
      <c r="K143" s="60" t="n"/>
      <c r="L143" s="60" t="n"/>
      <c r="M143" s="61" t="n"/>
      <c r="N143" s="60" t="n"/>
      <c r="O143" s="60" t="n"/>
      <c r="P143" s="60" t="n"/>
      <c r="Q143" s="60" t="n"/>
      <c r="R143" s="60" t="n"/>
      <c r="S143" s="60" t="n"/>
      <c r="T143" s="60" t="n"/>
      <c r="U143" s="60" t="n"/>
      <c r="V143" s="60" t="n"/>
      <c r="W143" s="60" t="n"/>
      <c r="X143" s="60" t="n"/>
      <c r="Y143" s="63">
        <f>IF($H143="","",TODAY()-$H143)</f>
        <v/>
      </c>
      <c r="Z143" s="63">
        <f>IF($A143="","",IF(AND($F143="Yes",OR($U143="No",$U143="NOT FOUND")),"YES",""))</f>
        <v/>
      </c>
      <c r="AA143" s="66">
        <f>IF($A143="","",TRIM(IF(AND($P143=0,$L143&lt;&gt;"Yes"),"T0-NoSmartcard ","")&amp;IF(AND($J143&lt;&gt;"",$J143&gt;365),"StalePwd ","")&amp;IF($K143="Yes","PwdNeverExpires ","")&amp;IF(AND($S143&lt;&gt;"",$S143&lt;&gt;"None"),"Delegation ","")&amp;IF(AND($Q143=1,$O143="None"),"StaleAdminCount ","")&amp;IF(AND($F143="Yes",$H143=""),"NeverLoggedOn ","")))</f>
        <v/>
      </c>
      <c r="AB143" s="60" t="n"/>
      <c r="AC143" s="61" t="n"/>
      <c r="AD143" s="60" t="n"/>
      <c r="AE143" s="62" t="n"/>
      <c r="AF143" s="62" t="n"/>
      <c r="AG143" s="62" t="n"/>
      <c r="AH143" s="60" t="n"/>
      <c r="AI143" s="61" t="n"/>
      <c r="AJ143" s="63">
        <f>IF($A143="","",IF(AF143="","Not Enrolled",IF(TODAY()&gt;AF143,"Review Overdue",IF(AF143-TODAY()&lt;=30,"Review Due Soon","Active"))))</f>
        <v/>
      </c>
      <c r="AK143" s="63">
        <f>IF($A143="","",IF(AG143="","NOT REVIEWED",IF(TODAY()-AG143&gt;90,"OVERDUE",IF(TODAY()-AG143&gt;76,"Due Soon","Current"))))</f>
        <v/>
      </c>
    </row>
    <row r="144" ht="15" customHeight="1" s="39">
      <c r="A144" s="60" t="n"/>
      <c r="B144" s="60" t="n"/>
      <c r="C144" s="61" t="n"/>
      <c r="D144" s="61" t="n"/>
      <c r="E144" s="60" t="n"/>
      <c r="F144" s="60" t="n"/>
      <c r="G144" s="62" t="n"/>
      <c r="H144" s="62" t="n"/>
      <c r="I144" s="62" t="n"/>
      <c r="J144" s="60" t="n"/>
      <c r="K144" s="60" t="n"/>
      <c r="L144" s="60" t="n"/>
      <c r="M144" s="61" t="n"/>
      <c r="N144" s="60" t="n"/>
      <c r="O144" s="60" t="n"/>
      <c r="P144" s="60" t="n"/>
      <c r="Q144" s="60" t="n"/>
      <c r="R144" s="60" t="n"/>
      <c r="S144" s="60" t="n"/>
      <c r="T144" s="60" t="n"/>
      <c r="U144" s="60" t="n"/>
      <c r="V144" s="60" t="n"/>
      <c r="W144" s="60" t="n"/>
      <c r="X144" s="60" t="n"/>
      <c r="Y144" s="63">
        <f>IF($H144="","",TODAY()-$H144)</f>
        <v/>
      </c>
      <c r="Z144" s="63">
        <f>IF($A144="","",IF(AND($F144="Yes",OR($U144="No",$U144="NOT FOUND")),"YES",""))</f>
        <v/>
      </c>
      <c r="AA144" s="66">
        <f>IF($A144="","",TRIM(IF(AND($P144=0,$L144&lt;&gt;"Yes"),"T0-NoSmartcard ","")&amp;IF(AND($J144&lt;&gt;"",$J144&gt;365),"StalePwd ","")&amp;IF($K144="Yes","PwdNeverExpires ","")&amp;IF(AND($S144&lt;&gt;"",$S144&lt;&gt;"None"),"Delegation ","")&amp;IF(AND($Q144=1,$O144="None"),"StaleAdminCount ","")&amp;IF(AND($F144="Yes",$H144=""),"NeverLoggedOn ","")))</f>
        <v/>
      </c>
      <c r="AB144" s="60" t="n"/>
      <c r="AC144" s="61" t="n"/>
      <c r="AD144" s="60" t="n"/>
      <c r="AE144" s="62" t="n"/>
      <c r="AF144" s="62" t="n"/>
      <c r="AG144" s="62" t="n"/>
      <c r="AH144" s="60" t="n"/>
      <c r="AI144" s="61" t="n"/>
      <c r="AJ144" s="63">
        <f>IF($A144="","",IF(AF144="","Not Enrolled",IF(TODAY()&gt;AF144,"Review Overdue",IF(AF144-TODAY()&lt;=30,"Review Due Soon","Active"))))</f>
        <v/>
      </c>
      <c r="AK144" s="63">
        <f>IF($A144="","",IF(AG144="","NOT REVIEWED",IF(TODAY()-AG144&gt;90,"OVERDUE",IF(TODAY()-AG144&gt;76,"Due Soon","Current"))))</f>
        <v/>
      </c>
    </row>
    <row r="145" ht="15" customHeight="1" s="39">
      <c r="A145" s="60" t="n"/>
      <c r="B145" s="60" t="n"/>
      <c r="C145" s="61" t="n"/>
      <c r="D145" s="61" t="n"/>
      <c r="E145" s="60" t="n"/>
      <c r="F145" s="60" t="n"/>
      <c r="G145" s="62" t="n"/>
      <c r="H145" s="62" t="n"/>
      <c r="I145" s="62" t="n"/>
      <c r="J145" s="60" t="n"/>
      <c r="K145" s="60" t="n"/>
      <c r="L145" s="60" t="n"/>
      <c r="M145" s="61" t="n"/>
      <c r="N145" s="60" t="n"/>
      <c r="O145" s="60" t="n"/>
      <c r="P145" s="60" t="n"/>
      <c r="Q145" s="60" t="n"/>
      <c r="R145" s="60" t="n"/>
      <c r="S145" s="60" t="n"/>
      <c r="T145" s="60" t="n"/>
      <c r="U145" s="60" t="n"/>
      <c r="V145" s="60" t="n"/>
      <c r="W145" s="60" t="n"/>
      <c r="X145" s="60" t="n"/>
      <c r="Y145" s="63">
        <f>IF($H145="","",TODAY()-$H145)</f>
        <v/>
      </c>
      <c r="Z145" s="63">
        <f>IF($A145="","",IF(AND($F145="Yes",OR($U145="No",$U145="NOT FOUND")),"YES",""))</f>
        <v/>
      </c>
      <c r="AA145" s="66">
        <f>IF($A145="","",TRIM(IF(AND($P145=0,$L145&lt;&gt;"Yes"),"T0-NoSmartcard ","")&amp;IF(AND($J145&lt;&gt;"",$J145&gt;365),"StalePwd ","")&amp;IF($K145="Yes","PwdNeverExpires ","")&amp;IF(AND($S145&lt;&gt;"",$S145&lt;&gt;"None"),"Delegation ","")&amp;IF(AND($Q145=1,$O145="None"),"StaleAdminCount ","")&amp;IF(AND($F145="Yes",$H145=""),"NeverLoggedOn ","")))</f>
        <v/>
      </c>
      <c r="AB145" s="60" t="n"/>
      <c r="AC145" s="61" t="n"/>
      <c r="AD145" s="60" t="n"/>
      <c r="AE145" s="62" t="n"/>
      <c r="AF145" s="62" t="n"/>
      <c r="AG145" s="62" t="n"/>
      <c r="AH145" s="60" t="n"/>
      <c r="AI145" s="61" t="n"/>
      <c r="AJ145" s="63">
        <f>IF($A145="","",IF(AF145="","Not Enrolled",IF(TODAY()&gt;AF145,"Review Overdue",IF(AF145-TODAY()&lt;=30,"Review Due Soon","Active"))))</f>
        <v/>
      </c>
      <c r="AK145" s="63">
        <f>IF($A145="","",IF(AG145="","NOT REVIEWED",IF(TODAY()-AG145&gt;90,"OVERDUE",IF(TODAY()-AG145&gt;76,"Due Soon","Current"))))</f>
        <v/>
      </c>
    </row>
    <row r="146" ht="15" customHeight="1" s="39">
      <c r="A146" s="60" t="n"/>
      <c r="B146" s="60" t="n"/>
      <c r="C146" s="61" t="n"/>
      <c r="D146" s="61" t="n"/>
      <c r="E146" s="60" t="n"/>
      <c r="F146" s="60" t="n"/>
      <c r="G146" s="62" t="n"/>
      <c r="H146" s="62" t="n"/>
      <c r="I146" s="62" t="n"/>
      <c r="J146" s="60" t="n"/>
      <c r="K146" s="60" t="n"/>
      <c r="L146" s="60" t="n"/>
      <c r="M146" s="61" t="n"/>
      <c r="N146" s="60" t="n"/>
      <c r="O146" s="60" t="n"/>
      <c r="P146" s="60" t="n"/>
      <c r="Q146" s="60" t="n"/>
      <c r="R146" s="60" t="n"/>
      <c r="S146" s="60" t="n"/>
      <c r="T146" s="60" t="n"/>
      <c r="U146" s="60" t="n"/>
      <c r="V146" s="60" t="n"/>
      <c r="W146" s="60" t="n"/>
      <c r="X146" s="60" t="n"/>
      <c r="Y146" s="63">
        <f>IF($H146="","",TODAY()-$H146)</f>
        <v/>
      </c>
      <c r="Z146" s="63">
        <f>IF($A146="","",IF(AND($F146="Yes",OR($U146="No",$U146="NOT FOUND")),"YES",""))</f>
        <v/>
      </c>
      <c r="AA146" s="66">
        <f>IF($A146="","",TRIM(IF(AND($P146=0,$L146&lt;&gt;"Yes"),"T0-NoSmartcard ","")&amp;IF(AND($J146&lt;&gt;"",$J146&gt;365),"StalePwd ","")&amp;IF($K146="Yes","PwdNeverExpires ","")&amp;IF(AND($S146&lt;&gt;"",$S146&lt;&gt;"None"),"Delegation ","")&amp;IF(AND($Q146=1,$O146="None"),"StaleAdminCount ","")&amp;IF(AND($F146="Yes",$H146=""),"NeverLoggedOn ","")))</f>
        <v/>
      </c>
      <c r="AB146" s="60" t="n"/>
      <c r="AC146" s="61" t="n"/>
      <c r="AD146" s="60" t="n"/>
      <c r="AE146" s="62" t="n"/>
      <c r="AF146" s="62" t="n"/>
      <c r="AG146" s="62" t="n"/>
      <c r="AH146" s="60" t="n"/>
      <c r="AI146" s="61" t="n"/>
      <c r="AJ146" s="63">
        <f>IF($A146="","",IF(AF146="","Not Enrolled",IF(TODAY()&gt;AF146,"Review Overdue",IF(AF146-TODAY()&lt;=30,"Review Due Soon","Active"))))</f>
        <v/>
      </c>
      <c r="AK146" s="63">
        <f>IF($A146="","",IF(AG146="","NOT REVIEWED",IF(TODAY()-AG146&gt;90,"OVERDUE",IF(TODAY()-AG146&gt;76,"Due Soon","Current"))))</f>
        <v/>
      </c>
    </row>
    <row r="147" ht="15" customHeight="1" s="39">
      <c r="A147" s="60" t="n"/>
      <c r="B147" s="60" t="n"/>
      <c r="C147" s="61" t="n"/>
      <c r="D147" s="61" t="n"/>
      <c r="E147" s="60" t="n"/>
      <c r="F147" s="60" t="n"/>
      <c r="G147" s="62" t="n"/>
      <c r="H147" s="62" t="n"/>
      <c r="I147" s="62" t="n"/>
      <c r="J147" s="60" t="n"/>
      <c r="K147" s="60" t="n"/>
      <c r="L147" s="60" t="n"/>
      <c r="M147" s="61" t="n"/>
      <c r="N147" s="60" t="n"/>
      <c r="O147" s="60" t="n"/>
      <c r="P147" s="60" t="n"/>
      <c r="Q147" s="60" t="n"/>
      <c r="R147" s="60" t="n"/>
      <c r="S147" s="60" t="n"/>
      <c r="T147" s="60" t="n"/>
      <c r="U147" s="60" t="n"/>
      <c r="V147" s="60" t="n"/>
      <c r="W147" s="60" t="n"/>
      <c r="X147" s="60" t="n"/>
      <c r="Y147" s="63">
        <f>IF($H147="","",TODAY()-$H147)</f>
        <v/>
      </c>
      <c r="Z147" s="63">
        <f>IF($A147="","",IF(AND($F147="Yes",OR($U147="No",$U147="NOT FOUND")),"YES",""))</f>
        <v/>
      </c>
      <c r="AA147" s="66">
        <f>IF($A147="","",TRIM(IF(AND($P147=0,$L147&lt;&gt;"Yes"),"T0-NoSmartcard ","")&amp;IF(AND($J147&lt;&gt;"",$J147&gt;365),"StalePwd ","")&amp;IF($K147="Yes","PwdNeverExpires ","")&amp;IF(AND($S147&lt;&gt;"",$S147&lt;&gt;"None"),"Delegation ","")&amp;IF(AND($Q147=1,$O147="None"),"StaleAdminCount ","")&amp;IF(AND($F147="Yes",$H147=""),"NeverLoggedOn ","")))</f>
        <v/>
      </c>
      <c r="AB147" s="60" t="n"/>
      <c r="AC147" s="61" t="n"/>
      <c r="AD147" s="60" t="n"/>
      <c r="AE147" s="62" t="n"/>
      <c r="AF147" s="62" t="n"/>
      <c r="AG147" s="62" t="n"/>
      <c r="AH147" s="60" t="n"/>
      <c r="AI147" s="61" t="n"/>
      <c r="AJ147" s="63">
        <f>IF($A147="","",IF(AF147="","Not Enrolled",IF(TODAY()&gt;AF147,"Review Overdue",IF(AF147-TODAY()&lt;=30,"Review Due Soon","Active"))))</f>
        <v/>
      </c>
      <c r="AK147" s="63">
        <f>IF($A147="","",IF(AG147="","NOT REVIEWED",IF(TODAY()-AG147&gt;90,"OVERDUE",IF(TODAY()-AG147&gt;76,"Due Soon","Current"))))</f>
        <v/>
      </c>
    </row>
    <row r="148" ht="15" customHeight="1" s="39">
      <c r="A148" s="60" t="n"/>
      <c r="B148" s="60" t="n"/>
      <c r="C148" s="61" t="n"/>
      <c r="D148" s="61" t="n"/>
      <c r="E148" s="60" t="n"/>
      <c r="F148" s="60" t="n"/>
      <c r="G148" s="62" t="n"/>
      <c r="H148" s="62" t="n"/>
      <c r="I148" s="62" t="n"/>
      <c r="J148" s="60" t="n"/>
      <c r="K148" s="60" t="n"/>
      <c r="L148" s="60" t="n"/>
      <c r="M148" s="61" t="n"/>
      <c r="N148" s="60" t="n"/>
      <c r="O148" s="60" t="n"/>
      <c r="P148" s="60" t="n"/>
      <c r="Q148" s="60" t="n"/>
      <c r="R148" s="60" t="n"/>
      <c r="S148" s="60" t="n"/>
      <c r="T148" s="60" t="n"/>
      <c r="U148" s="60" t="n"/>
      <c r="V148" s="60" t="n"/>
      <c r="W148" s="60" t="n"/>
      <c r="X148" s="60" t="n"/>
      <c r="Y148" s="63">
        <f>IF($H148="","",TODAY()-$H148)</f>
        <v/>
      </c>
      <c r="Z148" s="63">
        <f>IF($A148="","",IF(AND($F148="Yes",OR($U148="No",$U148="NOT FOUND")),"YES",""))</f>
        <v/>
      </c>
      <c r="AA148" s="66">
        <f>IF($A148="","",TRIM(IF(AND($P148=0,$L148&lt;&gt;"Yes"),"T0-NoSmartcard ","")&amp;IF(AND($J148&lt;&gt;"",$J148&gt;365),"StalePwd ","")&amp;IF($K148="Yes","PwdNeverExpires ","")&amp;IF(AND($S148&lt;&gt;"",$S148&lt;&gt;"None"),"Delegation ","")&amp;IF(AND($Q148=1,$O148="None"),"StaleAdminCount ","")&amp;IF(AND($F148="Yes",$H148=""),"NeverLoggedOn ","")))</f>
        <v/>
      </c>
      <c r="AB148" s="60" t="n"/>
      <c r="AC148" s="61" t="n"/>
      <c r="AD148" s="60" t="n"/>
      <c r="AE148" s="62" t="n"/>
      <c r="AF148" s="62" t="n"/>
      <c r="AG148" s="62" t="n"/>
      <c r="AH148" s="60" t="n"/>
      <c r="AI148" s="61" t="n"/>
      <c r="AJ148" s="63">
        <f>IF($A148="","",IF(AF148="","Not Enrolled",IF(TODAY()&gt;AF148,"Review Overdue",IF(AF148-TODAY()&lt;=30,"Review Due Soon","Active"))))</f>
        <v/>
      </c>
      <c r="AK148" s="63">
        <f>IF($A148="","",IF(AG148="","NOT REVIEWED",IF(TODAY()-AG148&gt;90,"OVERDUE",IF(TODAY()-AG148&gt;76,"Due Soon","Current"))))</f>
        <v/>
      </c>
    </row>
    <row r="149" ht="15" customHeight="1" s="39">
      <c r="A149" s="60" t="n"/>
      <c r="B149" s="60" t="n"/>
      <c r="C149" s="61" t="n"/>
      <c r="D149" s="61" t="n"/>
      <c r="E149" s="60" t="n"/>
      <c r="F149" s="60" t="n"/>
      <c r="G149" s="62" t="n"/>
      <c r="H149" s="62" t="n"/>
      <c r="I149" s="62" t="n"/>
      <c r="J149" s="60" t="n"/>
      <c r="K149" s="60" t="n"/>
      <c r="L149" s="60" t="n"/>
      <c r="M149" s="61" t="n"/>
      <c r="N149" s="60" t="n"/>
      <c r="O149" s="60" t="n"/>
      <c r="P149" s="60" t="n"/>
      <c r="Q149" s="60" t="n"/>
      <c r="R149" s="60" t="n"/>
      <c r="S149" s="60" t="n"/>
      <c r="T149" s="60" t="n"/>
      <c r="U149" s="60" t="n"/>
      <c r="V149" s="60" t="n"/>
      <c r="W149" s="60" t="n"/>
      <c r="X149" s="60" t="n"/>
      <c r="Y149" s="63">
        <f>IF($H149="","",TODAY()-$H149)</f>
        <v/>
      </c>
      <c r="Z149" s="63">
        <f>IF($A149="","",IF(AND($F149="Yes",OR($U149="No",$U149="NOT FOUND")),"YES",""))</f>
        <v/>
      </c>
      <c r="AA149" s="66">
        <f>IF($A149="","",TRIM(IF(AND($P149=0,$L149&lt;&gt;"Yes"),"T0-NoSmartcard ","")&amp;IF(AND($J149&lt;&gt;"",$J149&gt;365),"StalePwd ","")&amp;IF($K149="Yes","PwdNeverExpires ","")&amp;IF(AND($S149&lt;&gt;"",$S149&lt;&gt;"None"),"Delegation ","")&amp;IF(AND($Q149=1,$O149="None"),"StaleAdminCount ","")&amp;IF(AND($F149="Yes",$H149=""),"NeverLoggedOn ","")))</f>
        <v/>
      </c>
      <c r="AB149" s="60" t="n"/>
      <c r="AC149" s="61" t="n"/>
      <c r="AD149" s="60" t="n"/>
      <c r="AE149" s="62" t="n"/>
      <c r="AF149" s="62" t="n"/>
      <c r="AG149" s="62" t="n"/>
      <c r="AH149" s="60" t="n"/>
      <c r="AI149" s="61" t="n"/>
      <c r="AJ149" s="63">
        <f>IF($A149="","",IF(AF149="","Not Enrolled",IF(TODAY()&gt;AF149,"Review Overdue",IF(AF149-TODAY()&lt;=30,"Review Due Soon","Active"))))</f>
        <v/>
      </c>
      <c r="AK149" s="63">
        <f>IF($A149="","",IF(AG149="","NOT REVIEWED",IF(TODAY()-AG149&gt;90,"OVERDUE",IF(TODAY()-AG149&gt;76,"Due Soon","Current"))))</f>
        <v/>
      </c>
    </row>
    <row r="150" ht="15" customHeight="1" s="39">
      <c r="A150" s="60" t="n"/>
      <c r="B150" s="60" t="n"/>
      <c r="C150" s="61" t="n"/>
      <c r="D150" s="61" t="n"/>
      <c r="E150" s="60" t="n"/>
      <c r="F150" s="60" t="n"/>
      <c r="G150" s="62" t="n"/>
      <c r="H150" s="62" t="n"/>
      <c r="I150" s="62" t="n"/>
      <c r="J150" s="60" t="n"/>
      <c r="K150" s="60" t="n"/>
      <c r="L150" s="60" t="n"/>
      <c r="M150" s="61" t="n"/>
      <c r="N150" s="60" t="n"/>
      <c r="O150" s="60" t="n"/>
      <c r="P150" s="60" t="n"/>
      <c r="Q150" s="60" t="n"/>
      <c r="R150" s="60" t="n"/>
      <c r="S150" s="60" t="n"/>
      <c r="T150" s="60" t="n"/>
      <c r="U150" s="60" t="n"/>
      <c r="V150" s="60" t="n"/>
      <c r="W150" s="60" t="n"/>
      <c r="X150" s="60" t="n"/>
      <c r="Y150" s="63">
        <f>IF($H150="","",TODAY()-$H150)</f>
        <v/>
      </c>
      <c r="Z150" s="63">
        <f>IF($A150="","",IF(AND($F150="Yes",OR($U150="No",$U150="NOT FOUND")),"YES",""))</f>
        <v/>
      </c>
      <c r="AA150" s="66">
        <f>IF($A150="","",TRIM(IF(AND($P150=0,$L150&lt;&gt;"Yes"),"T0-NoSmartcard ","")&amp;IF(AND($J150&lt;&gt;"",$J150&gt;365),"StalePwd ","")&amp;IF($K150="Yes","PwdNeverExpires ","")&amp;IF(AND($S150&lt;&gt;"",$S150&lt;&gt;"None"),"Delegation ","")&amp;IF(AND($Q150=1,$O150="None"),"StaleAdminCount ","")&amp;IF(AND($F150="Yes",$H150=""),"NeverLoggedOn ","")))</f>
        <v/>
      </c>
      <c r="AB150" s="60" t="n"/>
      <c r="AC150" s="61" t="n"/>
      <c r="AD150" s="60" t="n"/>
      <c r="AE150" s="62" t="n"/>
      <c r="AF150" s="62" t="n"/>
      <c r="AG150" s="62" t="n"/>
      <c r="AH150" s="60" t="n"/>
      <c r="AI150" s="61" t="n"/>
      <c r="AJ150" s="63">
        <f>IF($A150="","",IF(AF150="","Not Enrolled",IF(TODAY()&gt;AF150,"Review Overdue",IF(AF150-TODAY()&lt;=30,"Review Due Soon","Active"))))</f>
        <v/>
      </c>
      <c r="AK150" s="63">
        <f>IF($A150="","",IF(AG150="","NOT REVIEWED",IF(TODAY()-AG150&gt;90,"OVERDUE",IF(TODAY()-AG150&gt;76,"Due Soon","Current"))))</f>
        <v/>
      </c>
    </row>
    <row r="151" ht="15" customHeight="1" s="39">
      <c r="A151" s="60" t="n"/>
      <c r="B151" s="60" t="n"/>
      <c r="C151" s="61" t="n"/>
      <c r="D151" s="61" t="n"/>
      <c r="E151" s="60" t="n"/>
      <c r="F151" s="60" t="n"/>
      <c r="G151" s="62" t="n"/>
      <c r="H151" s="62" t="n"/>
      <c r="I151" s="62" t="n"/>
      <c r="J151" s="60" t="n"/>
      <c r="K151" s="60" t="n"/>
      <c r="L151" s="60" t="n"/>
      <c r="M151" s="61" t="n"/>
      <c r="N151" s="60" t="n"/>
      <c r="O151" s="60" t="n"/>
      <c r="P151" s="60" t="n"/>
      <c r="Q151" s="60" t="n"/>
      <c r="R151" s="60" t="n"/>
      <c r="S151" s="60" t="n"/>
      <c r="T151" s="60" t="n"/>
      <c r="U151" s="60" t="n"/>
      <c r="V151" s="60" t="n"/>
      <c r="W151" s="60" t="n"/>
      <c r="X151" s="60" t="n"/>
      <c r="Y151" s="63">
        <f>IF($H151="","",TODAY()-$H151)</f>
        <v/>
      </c>
      <c r="Z151" s="63">
        <f>IF($A151="","",IF(AND($F151="Yes",OR($U151="No",$U151="NOT FOUND")),"YES",""))</f>
        <v/>
      </c>
      <c r="AA151" s="66">
        <f>IF($A151="","",TRIM(IF(AND($P151=0,$L151&lt;&gt;"Yes"),"T0-NoSmartcard ","")&amp;IF(AND($J151&lt;&gt;"",$J151&gt;365),"StalePwd ","")&amp;IF($K151="Yes","PwdNeverExpires ","")&amp;IF(AND($S151&lt;&gt;"",$S151&lt;&gt;"None"),"Delegation ","")&amp;IF(AND($Q151=1,$O151="None"),"StaleAdminCount ","")&amp;IF(AND($F151="Yes",$H151=""),"NeverLoggedOn ","")))</f>
        <v/>
      </c>
      <c r="AB151" s="60" t="n"/>
      <c r="AC151" s="61" t="n"/>
      <c r="AD151" s="60" t="n"/>
      <c r="AE151" s="62" t="n"/>
      <c r="AF151" s="62" t="n"/>
      <c r="AG151" s="62" t="n"/>
      <c r="AH151" s="60" t="n"/>
      <c r="AI151" s="61" t="n"/>
      <c r="AJ151" s="63">
        <f>IF($A151="","",IF(AF151="","Not Enrolled",IF(TODAY()&gt;AF151,"Review Overdue",IF(AF151-TODAY()&lt;=30,"Review Due Soon","Active"))))</f>
        <v/>
      </c>
      <c r="AK151" s="63">
        <f>IF($A151="","",IF(AG151="","NOT REVIEWED",IF(TODAY()-AG151&gt;90,"OVERDUE",IF(TODAY()-AG151&gt;76,"Due Soon","Current"))))</f>
        <v/>
      </c>
    </row>
    <row r="152" ht="15" customHeight="1" s="39">
      <c r="A152" s="60" t="n"/>
      <c r="B152" s="60" t="n"/>
      <c r="C152" s="61" t="n"/>
      <c r="D152" s="61" t="n"/>
      <c r="E152" s="60" t="n"/>
      <c r="F152" s="60" t="n"/>
      <c r="G152" s="62" t="n"/>
      <c r="H152" s="62" t="n"/>
      <c r="I152" s="62" t="n"/>
      <c r="J152" s="60" t="n"/>
      <c r="K152" s="60" t="n"/>
      <c r="L152" s="60" t="n"/>
      <c r="M152" s="61" t="n"/>
      <c r="N152" s="60" t="n"/>
      <c r="O152" s="60" t="n"/>
      <c r="P152" s="60" t="n"/>
      <c r="Q152" s="60" t="n"/>
      <c r="R152" s="60" t="n"/>
      <c r="S152" s="60" t="n"/>
      <c r="T152" s="60" t="n"/>
      <c r="U152" s="60" t="n"/>
      <c r="V152" s="60" t="n"/>
      <c r="W152" s="60" t="n"/>
      <c r="X152" s="60" t="n"/>
      <c r="Y152" s="63">
        <f>IF($H152="","",TODAY()-$H152)</f>
        <v/>
      </c>
      <c r="Z152" s="63">
        <f>IF($A152="","",IF(AND($F152="Yes",OR($U152="No",$U152="NOT FOUND")),"YES",""))</f>
        <v/>
      </c>
      <c r="AA152" s="66">
        <f>IF($A152="","",TRIM(IF(AND($P152=0,$L152&lt;&gt;"Yes"),"T0-NoSmartcard ","")&amp;IF(AND($J152&lt;&gt;"",$J152&gt;365),"StalePwd ","")&amp;IF($K152="Yes","PwdNeverExpires ","")&amp;IF(AND($S152&lt;&gt;"",$S152&lt;&gt;"None"),"Delegation ","")&amp;IF(AND($Q152=1,$O152="None"),"StaleAdminCount ","")&amp;IF(AND($F152="Yes",$H152=""),"NeverLoggedOn ","")))</f>
        <v/>
      </c>
      <c r="AB152" s="60" t="n"/>
      <c r="AC152" s="61" t="n"/>
      <c r="AD152" s="60" t="n"/>
      <c r="AE152" s="62" t="n"/>
      <c r="AF152" s="62" t="n"/>
      <c r="AG152" s="62" t="n"/>
      <c r="AH152" s="60" t="n"/>
      <c r="AI152" s="61" t="n"/>
      <c r="AJ152" s="63">
        <f>IF($A152="","",IF(AF152="","Not Enrolled",IF(TODAY()&gt;AF152,"Review Overdue",IF(AF152-TODAY()&lt;=30,"Review Due Soon","Active"))))</f>
        <v/>
      </c>
      <c r="AK152" s="63">
        <f>IF($A152="","",IF(AG152="","NOT REVIEWED",IF(TODAY()-AG152&gt;90,"OVERDUE",IF(TODAY()-AG152&gt;76,"Due Soon","Current"))))</f>
        <v/>
      </c>
    </row>
    <row r="153" ht="15" customHeight="1" s="39">
      <c r="A153" s="60" t="n"/>
      <c r="B153" s="60" t="n"/>
      <c r="C153" s="61" t="n"/>
      <c r="D153" s="61" t="n"/>
      <c r="E153" s="60" t="n"/>
      <c r="F153" s="60" t="n"/>
      <c r="G153" s="62" t="n"/>
      <c r="H153" s="62" t="n"/>
      <c r="I153" s="62" t="n"/>
      <c r="J153" s="60" t="n"/>
      <c r="K153" s="60" t="n"/>
      <c r="L153" s="60" t="n"/>
      <c r="M153" s="61" t="n"/>
      <c r="N153" s="60" t="n"/>
      <c r="O153" s="60" t="n"/>
      <c r="P153" s="60" t="n"/>
      <c r="Q153" s="60" t="n"/>
      <c r="R153" s="60" t="n"/>
      <c r="S153" s="60" t="n"/>
      <c r="T153" s="60" t="n"/>
      <c r="U153" s="60" t="n"/>
      <c r="V153" s="60" t="n"/>
      <c r="W153" s="60" t="n"/>
      <c r="X153" s="60" t="n"/>
      <c r="Y153" s="63">
        <f>IF($H153="","",TODAY()-$H153)</f>
        <v/>
      </c>
      <c r="Z153" s="63">
        <f>IF($A153="","",IF(AND($F153="Yes",OR($U153="No",$U153="NOT FOUND")),"YES",""))</f>
        <v/>
      </c>
      <c r="AA153" s="66">
        <f>IF($A153="","",TRIM(IF(AND($P153=0,$L153&lt;&gt;"Yes"),"T0-NoSmartcard ","")&amp;IF(AND($J153&lt;&gt;"",$J153&gt;365),"StalePwd ","")&amp;IF($K153="Yes","PwdNeverExpires ","")&amp;IF(AND($S153&lt;&gt;"",$S153&lt;&gt;"None"),"Delegation ","")&amp;IF(AND($Q153=1,$O153="None"),"StaleAdminCount ","")&amp;IF(AND($F153="Yes",$H153=""),"NeverLoggedOn ","")))</f>
        <v/>
      </c>
      <c r="AB153" s="60" t="n"/>
      <c r="AC153" s="61" t="n"/>
      <c r="AD153" s="60" t="n"/>
      <c r="AE153" s="62" t="n"/>
      <c r="AF153" s="62" t="n"/>
      <c r="AG153" s="62" t="n"/>
      <c r="AH153" s="60" t="n"/>
      <c r="AI153" s="61" t="n"/>
      <c r="AJ153" s="63">
        <f>IF($A153="","",IF(AF153="","Not Enrolled",IF(TODAY()&gt;AF153,"Review Overdue",IF(AF153-TODAY()&lt;=30,"Review Due Soon","Active"))))</f>
        <v/>
      </c>
      <c r="AK153" s="63">
        <f>IF($A153="","",IF(AG153="","NOT REVIEWED",IF(TODAY()-AG153&gt;90,"OVERDUE",IF(TODAY()-AG153&gt;76,"Due Soon","Current"))))</f>
        <v/>
      </c>
    </row>
    <row r="154" ht="15" customHeight="1" s="39">
      <c r="A154" s="60" t="n"/>
      <c r="B154" s="60" t="n"/>
      <c r="C154" s="61" t="n"/>
      <c r="D154" s="61" t="n"/>
      <c r="E154" s="60" t="n"/>
      <c r="F154" s="60" t="n"/>
      <c r="G154" s="62" t="n"/>
      <c r="H154" s="62" t="n"/>
      <c r="I154" s="62" t="n"/>
      <c r="J154" s="60" t="n"/>
      <c r="K154" s="60" t="n"/>
      <c r="L154" s="60" t="n"/>
      <c r="M154" s="61" t="n"/>
      <c r="N154" s="60" t="n"/>
      <c r="O154" s="60" t="n"/>
      <c r="P154" s="60" t="n"/>
      <c r="Q154" s="60" t="n"/>
      <c r="R154" s="60" t="n"/>
      <c r="S154" s="60" t="n"/>
      <c r="T154" s="60" t="n"/>
      <c r="U154" s="60" t="n"/>
      <c r="V154" s="60" t="n"/>
      <c r="W154" s="60" t="n"/>
      <c r="X154" s="60" t="n"/>
      <c r="Y154" s="63">
        <f>IF($H154="","",TODAY()-$H154)</f>
        <v/>
      </c>
      <c r="Z154" s="63">
        <f>IF($A154="","",IF(AND($F154="Yes",OR($U154="No",$U154="NOT FOUND")),"YES",""))</f>
        <v/>
      </c>
      <c r="AA154" s="66">
        <f>IF($A154="","",TRIM(IF(AND($P154=0,$L154&lt;&gt;"Yes"),"T0-NoSmartcard ","")&amp;IF(AND($J154&lt;&gt;"",$J154&gt;365),"StalePwd ","")&amp;IF($K154="Yes","PwdNeverExpires ","")&amp;IF(AND($S154&lt;&gt;"",$S154&lt;&gt;"None"),"Delegation ","")&amp;IF(AND($Q154=1,$O154="None"),"StaleAdminCount ","")&amp;IF(AND($F154="Yes",$H154=""),"NeverLoggedOn ","")))</f>
        <v/>
      </c>
      <c r="AB154" s="60" t="n"/>
      <c r="AC154" s="61" t="n"/>
      <c r="AD154" s="60" t="n"/>
      <c r="AE154" s="62" t="n"/>
      <c r="AF154" s="62" t="n"/>
      <c r="AG154" s="62" t="n"/>
      <c r="AH154" s="60" t="n"/>
      <c r="AI154" s="61" t="n"/>
      <c r="AJ154" s="63">
        <f>IF($A154="","",IF(AF154="","Not Enrolled",IF(TODAY()&gt;AF154,"Review Overdue",IF(AF154-TODAY()&lt;=30,"Review Due Soon","Active"))))</f>
        <v/>
      </c>
      <c r="AK154" s="63">
        <f>IF($A154="","",IF(AG154="","NOT REVIEWED",IF(TODAY()-AG154&gt;90,"OVERDUE",IF(TODAY()-AG154&gt;76,"Due Soon","Current"))))</f>
        <v/>
      </c>
    </row>
    <row r="155" ht="15" customHeight="1" s="39">
      <c r="A155" s="60" t="n"/>
      <c r="B155" s="60" t="n"/>
      <c r="C155" s="61" t="n"/>
      <c r="D155" s="61" t="n"/>
      <c r="E155" s="60" t="n"/>
      <c r="F155" s="60" t="n"/>
      <c r="G155" s="62" t="n"/>
      <c r="H155" s="62" t="n"/>
      <c r="I155" s="62" t="n"/>
      <c r="J155" s="60" t="n"/>
      <c r="K155" s="60" t="n"/>
      <c r="L155" s="60" t="n"/>
      <c r="M155" s="61" t="n"/>
      <c r="N155" s="60" t="n"/>
      <c r="O155" s="60" t="n"/>
      <c r="P155" s="60" t="n"/>
      <c r="Q155" s="60" t="n"/>
      <c r="R155" s="60" t="n"/>
      <c r="S155" s="60" t="n"/>
      <c r="T155" s="60" t="n"/>
      <c r="U155" s="60" t="n"/>
      <c r="V155" s="60" t="n"/>
      <c r="W155" s="60" t="n"/>
      <c r="X155" s="60" t="n"/>
      <c r="Y155" s="63">
        <f>IF($H155="","",TODAY()-$H155)</f>
        <v/>
      </c>
      <c r="Z155" s="63">
        <f>IF($A155="","",IF(AND($F155="Yes",OR($U155="No",$U155="NOT FOUND")),"YES",""))</f>
        <v/>
      </c>
      <c r="AA155" s="66">
        <f>IF($A155="","",TRIM(IF(AND($P155=0,$L155&lt;&gt;"Yes"),"T0-NoSmartcard ","")&amp;IF(AND($J155&lt;&gt;"",$J155&gt;365),"StalePwd ","")&amp;IF($K155="Yes","PwdNeverExpires ","")&amp;IF(AND($S155&lt;&gt;"",$S155&lt;&gt;"None"),"Delegation ","")&amp;IF(AND($Q155=1,$O155="None"),"StaleAdminCount ","")&amp;IF(AND($F155="Yes",$H155=""),"NeverLoggedOn ","")))</f>
        <v/>
      </c>
      <c r="AB155" s="60" t="n"/>
      <c r="AC155" s="61" t="n"/>
      <c r="AD155" s="60" t="n"/>
      <c r="AE155" s="62" t="n"/>
      <c r="AF155" s="62" t="n"/>
      <c r="AG155" s="62" t="n"/>
      <c r="AH155" s="60" t="n"/>
      <c r="AI155" s="61" t="n"/>
      <c r="AJ155" s="63">
        <f>IF($A155="","",IF(AF155="","Not Enrolled",IF(TODAY()&gt;AF155,"Review Overdue",IF(AF155-TODAY()&lt;=30,"Review Due Soon","Active"))))</f>
        <v/>
      </c>
      <c r="AK155" s="63">
        <f>IF($A155="","",IF(AG155="","NOT REVIEWED",IF(TODAY()-AG155&gt;90,"OVERDUE",IF(TODAY()-AG155&gt;76,"Due Soon","Current"))))</f>
        <v/>
      </c>
    </row>
    <row r="156" ht="15" customHeight="1" s="39">
      <c r="A156" s="60" t="n"/>
      <c r="B156" s="60" t="n"/>
      <c r="C156" s="61" t="n"/>
      <c r="D156" s="61" t="n"/>
      <c r="E156" s="60" t="n"/>
      <c r="F156" s="60" t="n"/>
      <c r="G156" s="62" t="n"/>
      <c r="H156" s="62" t="n"/>
      <c r="I156" s="62" t="n"/>
      <c r="J156" s="60" t="n"/>
      <c r="K156" s="60" t="n"/>
      <c r="L156" s="60" t="n"/>
      <c r="M156" s="61" t="n"/>
      <c r="N156" s="60" t="n"/>
      <c r="O156" s="60" t="n"/>
      <c r="P156" s="60" t="n"/>
      <c r="Q156" s="60" t="n"/>
      <c r="R156" s="60" t="n"/>
      <c r="S156" s="60" t="n"/>
      <c r="T156" s="60" t="n"/>
      <c r="U156" s="60" t="n"/>
      <c r="V156" s="60" t="n"/>
      <c r="W156" s="60" t="n"/>
      <c r="X156" s="60" t="n"/>
      <c r="Y156" s="63">
        <f>IF($H156="","",TODAY()-$H156)</f>
        <v/>
      </c>
      <c r="Z156" s="63">
        <f>IF($A156="","",IF(AND($F156="Yes",OR($U156="No",$U156="NOT FOUND")),"YES",""))</f>
        <v/>
      </c>
      <c r="AA156" s="66">
        <f>IF($A156="","",TRIM(IF(AND($P156=0,$L156&lt;&gt;"Yes"),"T0-NoSmartcard ","")&amp;IF(AND($J156&lt;&gt;"",$J156&gt;365),"StalePwd ","")&amp;IF($K156="Yes","PwdNeverExpires ","")&amp;IF(AND($S156&lt;&gt;"",$S156&lt;&gt;"None"),"Delegation ","")&amp;IF(AND($Q156=1,$O156="None"),"StaleAdminCount ","")&amp;IF(AND($F156="Yes",$H156=""),"NeverLoggedOn ","")))</f>
        <v/>
      </c>
      <c r="AB156" s="60" t="n"/>
      <c r="AC156" s="61" t="n"/>
      <c r="AD156" s="60" t="n"/>
      <c r="AE156" s="62" t="n"/>
      <c r="AF156" s="62" t="n"/>
      <c r="AG156" s="62" t="n"/>
      <c r="AH156" s="60" t="n"/>
      <c r="AI156" s="61" t="n"/>
      <c r="AJ156" s="63">
        <f>IF($A156="","",IF(AF156="","Not Enrolled",IF(TODAY()&gt;AF156,"Review Overdue",IF(AF156-TODAY()&lt;=30,"Review Due Soon","Active"))))</f>
        <v/>
      </c>
      <c r="AK156" s="63">
        <f>IF($A156="","",IF(AG156="","NOT REVIEWED",IF(TODAY()-AG156&gt;90,"OVERDUE",IF(TODAY()-AG156&gt;76,"Due Soon","Current"))))</f>
        <v/>
      </c>
    </row>
    <row r="157" ht="15" customHeight="1" s="39">
      <c r="A157" s="60" t="n"/>
      <c r="B157" s="60" t="n"/>
      <c r="C157" s="61" t="n"/>
      <c r="D157" s="61" t="n"/>
      <c r="E157" s="60" t="n"/>
      <c r="F157" s="60" t="n"/>
      <c r="G157" s="62" t="n"/>
      <c r="H157" s="62" t="n"/>
      <c r="I157" s="62" t="n"/>
      <c r="J157" s="60" t="n"/>
      <c r="K157" s="60" t="n"/>
      <c r="L157" s="60" t="n"/>
      <c r="M157" s="61" t="n"/>
      <c r="N157" s="60" t="n"/>
      <c r="O157" s="60" t="n"/>
      <c r="P157" s="60" t="n"/>
      <c r="Q157" s="60" t="n"/>
      <c r="R157" s="60" t="n"/>
      <c r="S157" s="60" t="n"/>
      <c r="T157" s="60" t="n"/>
      <c r="U157" s="60" t="n"/>
      <c r="V157" s="60" t="n"/>
      <c r="W157" s="60" t="n"/>
      <c r="X157" s="60" t="n"/>
      <c r="Y157" s="63">
        <f>IF($H157="","",TODAY()-$H157)</f>
        <v/>
      </c>
      <c r="Z157" s="63">
        <f>IF($A157="","",IF(AND($F157="Yes",OR($U157="No",$U157="NOT FOUND")),"YES",""))</f>
        <v/>
      </c>
      <c r="AA157" s="66">
        <f>IF($A157="","",TRIM(IF(AND($P157=0,$L157&lt;&gt;"Yes"),"T0-NoSmartcard ","")&amp;IF(AND($J157&lt;&gt;"",$J157&gt;365),"StalePwd ","")&amp;IF($K157="Yes","PwdNeverExpires ","")&amp;IF(AND($S157&lt;&gt;"",$S157&lt;&gt;"None"),"Delegation ","")&amp;IF(AND($Q157=1,$O157="None"),"StaleAdminCount ","")&amp;IF(AND($F157="Yes",$H157=""),"NeverLoggedOn ","")))</f>
        <v/>
      </c>
      <c r="AB157" s="60" t="n"/>
      <c r="AC157" s="61" t="n"/>
      <c r="AD157" s="60" t="n"/>
      <c r="AE157" s="62" t="n"/>
      <c r="AF157" s="62" t="n"/>
      <c r="AG157" s="62" t="n"/>
      <c r="AH157" s="60" t="n"/>
      <c r="AI157" s="61" t="n"/>
      <c r="AJ157" s="63">
        <f>IF($A157="","",IF(AF157="","Not Enrolled",IF(TODAY()&gt;AF157,"Review Overdue",IF(AF157-TODAY()&lt;=30,"Review Due Soon","Active"))))</f>
        <v/>
      </c>
      <c r="AK157" s="63">
        <f>IF($A157="","",IF(AG157="","NOT REVIEWED",IF(TODAY()-AG157&gt;90,"OVERDUE",IF(TODAY()-AG157&gt;76,"Due Soon","Current"))))</f>
        <v/>
      </c>
    </row>
    <row r="158" ht="15" customHeight="1" s="39">
      <c r="A158" s="60" t="n"/>
      <c r="B158" s="60" t="n"/>
      <c r="C158" s="61" t="n"/>
      <c r="D158" s="61" t="n"/>
      <c r="E158" s="60" t="n"/>
      <c r="F158" s="60" t="n"/>
      <c r="G158" s="62" t="n"/>
      <c r="H158" s="62" t="n"/>
      <c r="I158" s="62" t="n"/>
      <c r="J158" s="60" t="n"/>
      <c r="K158" s="60" t="n"/>
      <c r="L158" s="60" t="n"/>
      <c r="M158" s="61" t="n"/>
      <c r="N158" s="60" t="n"/>
      <c r="O158" s="60" t="n"/>
      <c r="P158" s="60" t="n"/>
      <c r="Q158" s="60" t="n"/>
      <c r="R158" s="60" t="n"/>
      <c r="S158" s="60" t="n"/>
      <c r="T158" s="60" t="n"/>
      <c r="U158" s="60" t="n"/>
      <c r="V158" s="60" t="n"/>
      <c r="W158" s="60" t="n"/>
      <c r="X158" s="60" t="n"/>
      <c r="Y158" s="63">
        <f>IF($H158="","",TODAY()-$H158)</f>
        <v/>
      </c>
      <c r="Z158" s="63">
        <f>IF($A158="","",IF(AND($F158="Yes",OR($U158="No",$U158="NOT FOUND")),"YES",""))</f>
        <v/>
      </c>
      <c r="AA158" s="66">
        <f>IF($A158="","",TRIM(IF(AND($P158=0,$L158&lt;&gt;"Yes"),"T0-NoSmartcard ","")&amp;IF(AND($J158&lt;&gt;"",$J158&gt;365),"StalePwd ","")&amp;IF($K158="Yes","PwdNeverExpires ","")&amp;IF(AND($S158&lt;&gt;"",$S158&lt;&gt;"None"),"Delegation ","")&amp;IF(AND($Q158=1,$O158="None"),"StaleAdminCount ","")&amp;IF(AND($F158="Yes",$H158=""),"NeverLoggedOn ","")))</f>
        <v/>
      </c>
      <c r="AB158" s="60" t="n"/>
      <c r="AC158" s="61" t="n"/>
      <c r="AD158" s="60" t="n"/>
      <c r="AE158" s="62" t="n"/>
      <c r="AF158" s="62" t="n"/>
      <c r="AG158" s="62" t="n"/>
      <c r="AH158" s="60" t="n"/>
      <c r="AI158" s="61" t="n"/>
      <c r="AJ158" s="63">
        <f>IF($A158="","",IF(AF158="","Not Enrolled",IF(TODAY()&gt;AF158,"Review Overdue",IF(AF158-TODAY()&lt;=30,"Review Due Soon","Active"))))</f>
        <v/>
      </c>
      <c r="AK158" s="63">
        <f>IF($A158="","",IF(AG158="","NOT REVIEWED",IF(TODAY()-AG158&gt;90,"OVERDUE",IF(TODAY()-AG158&gt;76,"Due Soon","Current"))))</f>
        <v/>
      </c>
    </row>
    <row r="159" ht="15" customHeight="1" s="39">
      <c r="A159" s="60" t="n"/>
      <c r="B159" s="60" t="n"/>
      <c r="C159" s="61" t="n"/>
      <c r="D159" s="61" t="n"/>
      <c r="E159" s="60" t="n"/>
      <c r="F159" s="60" t="n"/>
      <c r="G159" s="62" t="n"/>
      <c r="H159" s="62" t="n"/>
      <c r="I159" s="62" t="n"/>
      <c r="J159" s="60" t="n"/>
      <c r="K159" s="60" t="n"/>
      <c r="L159" s="60" t="n"/>
      <c r="M159" s="61" t="n"/>
      <c r="N159" s="60" t="n"/>
      <c r="O159" s="60" t="n"/>
      <c r="P159" s="60" t="n"/>
      <c r="Q159" s="60" t="n"/>
      <c r="R159" s="60" t="n"/>
      <c r="S159" s="60" t="n"/>
      <c r="T159" s="60" t="n"/>
      <c r="U159" s="60" t="n"/>
      <c r="V159" s="60" t="n"/>
      <c r="W159" s="60" t="n"/>
      <c r="X159" s="60" t="n"/>
      <c r="Y159" s="63">
        <f>IF($H159="","",TODAY()-$H159)</f>
        <v/>
      </c>
      <c r="Z159" s="63">
        <f>IF($A159="","",IF(AND($F159="Yes",OR($U159="No",$U159="NOT FOUND")),"YES",""))</f>
        <v/>
      </c>
      <c r="AA159" s="66">
        <f>IF($A159="","",TRIM(IF(AND($P159=0,$L159&lt;&gt;"Yes"),"T0-NoSmartcard ","")&amp;IF(AND($J159&lt;&gt;"",$J159&gt;365),"StalePwd ","")&amp;IF($K159="Yes","PwdNeverExpires ","")&amp;IF(AND($S159&lt;&gt;"",$S159&lt;&gt;"None"),"Delegation ","")&amp;IF(AND($Q159=1,$O159="None"),"StaleAdminCount ","")&amp;IF(AND($F159="Yes",$H159=""),"NeverLoggedOn ","")))</f>
        <v/>
      </c>
      <c r="AB159" s="60" t="n"/>
      <c r="AC159" s="61" t="n"/>
      <c r="AD159" s="60" t="n"/>
      <c r="AE159" s="62" t="n"/>
      <c r="AF159" s="62" t="n"/>
      <c r="AG159" s="62" t="n"/>
      <c r="AH159" s="60" t="n"/>
      <c r="AI159" s="61" t="n"/>
      <c r="AJ159" s="63">
        <f>IF($A159="","",IF(AF159="","Not Enrolled",IF(TODAY()&gt;AF159,"Review Overdue",IF(AF159-TODAY()&lt;=30,"Review Due Soon","Active"))))</f>
        <v/>
      </c>
      <c r="AK159" s="63">
        <f>IF($A159="","",IF(AG159="","NOT REVIEWED",IF(TODAY()-AG159&gt;90,"OVERDUE",IF(TODAY()-AG159&gt;76,"Due Soon","Current"))))</f>
        <v/>
      </c>
    </row>
    <row r="160" ht="15" customHeight="1" s="39">
      <c r="A160" s="60" t="n"/>
      <c r="B160" s="60" t="n"/>
      <c r="C160" s="61" t="n"/>
      <c r="D160" s="61" t="n"/>
      <c r="E160" s="60" t="n"/>
      <c r="F160" s="60" t="n"/>
      <c r="G160" s="62" t="n"/>
      <c r="H160" s="62" t="n"/>
      <c r="I160" s="62" t="n"/>
      <c r="J160" s="60" t="n"/>
      <c r="K160" s="60" t="n"/>
      <c r="L160" s="60" t="n"/>
      <c r="M160" s="61" t="n"/>
      <c r="N160" s="60" t="n"/>
      <c r="O160" s="60" t="n"/>
      <c r="P160" s="60" t="n"/>
      <c r="Q160" s="60" t="n"/>
      <c r="R160" s="60" t="n"/>
      <c r="S160" s="60" t="n"/>
      <c r="T160" s="60" t="n"/>
      <c r="U160" s="60" t="n"/>
      <c r="V160" s="60" t="n"/>
      <c r="W160" s="60" t="n"/>
      <c r="X160" s="60" t="n"/>
      <c r="Y160" s="63">
        <f>IF($H160="","",TODAY()-$H160)</f>
        <v/>
      </c>
      <c r="Z160" s="63">
        <f>IF($A160="","",IF(AND($F160="Yes",OR($U160="No",$U160="NOT FOUND")),"YES",""))</f>
        <v/>
      </c>
      <c r="AA160" s="66">
        <f>IF($A160="","",TRIM(IF(AND($P160=0,$L160&lt;&gt;"Yes"),"T0-NoSmartcard ","")&amp;IF(AND($J160&lt;&gt;"",$J160&gt;365),"StalePwd ","")&amp;IF($K160="Yes","PwdNeverExpires ","")&amp;IF(AND($S160&lt;&gt;"",$S160&lt;&gt;"None"),"Delegation ","")&amp;IF(AND($Q160=1,$O160="None"),"StaleAdminCount ","")&amp;IF(AND($F160="Yes",$H160=""),"NeverLoggedOn ","")))</f>
        <v/>
      </c>
      <c r="AB160" s="60" t="n"/>
      <c r="AC160" s="61" t="n"/>
      <c r="AD160" s="60" t="n"/>
      <c r="AE160" s="62" t="n"/>
      <c r="AF160" s="62" t="n"/>
      <c r="AG160" s="62" t="n"/>
      <c r="AH160" s="60" t="n"/>
      <c r="AI160" s="61" t="n"/>
      <c r="AJ160" s="63">
        <f>IF($A160="","",IF(AF160="","Not Enrolled",IF(TODAY()&gt;AF160,"Review Overdue",IF(AF160-TODAY()&lt;=30,"Review Due Soon","Active"))))</f>
        <v/>
      </c>
      <c r="AK160" s="63">
        <f>IF($A160="","",IF(AG160="","NOT REVIEWED",IF(TODAY()-AG160&gt;90,"OVERDUE",IF(TODAY()-AG160&gt;76,"Due Soon","Current"))))</f>
        <v/>
      </c>
    </row>
    <row r="161" ht="15" customHeight="1" s="39">
      <c r="A161" s="60" t="n"/>
      <c r="B161" s="60" t="n"/>
      <c r="C161" s="61" t="n"/>
      <c r="D161" s="61" t="n"/>
      <c r="E161" s="60" t="n"/>
      <c r="F161" s="60" t="n"/>
      <c r="G161" s="62" t="n"/>
      <c r="H161" s="62" t="n"/>
      <c r="I161" s="62" t="n"/>
      <c r="J161" s="60" t="n"/>
      <c r="K161" s="60" t="n"/>
      <c r="L161" s="60" t="n"/>
      <c r="M161" s="61" t="n"/>
      <c r="N161" s="60" t="n"/>
      <c r="O161" s="60" t="n"/>
      <c r="P161" s="60" t="n"/>
      <c r="Q161" s="60" t="n"/>
      <c r="R161" s="60" t="n"/>
      <c r="S161" s="60" t="n"/>
      <c r="T161" s="60" t="n"/>
      <c r="U161" s="60" t="n"/>
      <c r="V161" s="60" t="n"/>
      <c r="W161" s="60" t="n"/>
      <c r="X161" s="60" t="n"/>
      <c r="Y161" s="63">
        <f>IF($H161="","",TODAY()-$H161)</f>
        <v/>
      </c>
      <c r="Z161" s="63">
        <f>IF($A161="","",IF(AND($F161="Yes",OR($U161="No",$U161="NOT FOUND")),"YES",""))</f>
        <v/>
      </c>
      <c r="AA161" s="66">
        <f>IF($A161="","",TRIM(IF(AND($P161=0,$L161&lt;&gt;"Yes"),"T0-NoSmartcard ","")&amp;IF(AND($J161&lt;&gt;"",$J161&gt;365),"StalePwd ","")&amp;IF($K161="Yes","PwdNeverExpires ","")&amp;IF(AND($S161&lt;&gt;"",$S161&lt;&gt;"None"),"Delegation ","")&amp;IF(AND($Q161=1,$O161="None"),"StaleAdminCount ","")&amp;IF(AND($F161="Yes",$H161=""),"NeverLoggedOn ","")))</f>
        <v/>
      </c>
      <c r="AB161" s="60" t="n"/>
      <c r="AC161" s="61" t="n"/>
      <c r="AD161" s="60" t="n"/>
      <c r="AE161" s="62" t="n"/>
      <c r="AF161" s="62" t="n"/>
      <c r="AG161" s="62" t="n"/>
      <c r="AH161" s="60" t="n"/>
      <c r="AI161" s="61" t="n"/>
      <c r="AJ161" s="63">
        <f>IF($A161="","",IF(AF161="","Not Enrolled",IF(TODAY()&gt;AF161,"Review Overdue",IF(AF161-TODAY()&lt;=30,"Review Due Soon","Active"))))</f>
        <v/>
      </c>
      <c r="AK161" s="63">
        <f>IF($A161="","",IF(AG161="","NOT REVIEWED",IF(TODAY()-AG161&gt;90,"OVERDUE",IF(TODAY()-AG161&gt;76,"Due Soon","Current"))))</f>
        <v/>
      </c>
    </row>
    <row r="162" ht="15" customHeight="1" s="39">
      <c r="A162" s="60" t="n"/>
      <c r="B162" s="60" t="n"/>
      <c r="C162" s="61" t="n"/>
      <c r="D162" s="61" t="n"/>
      <c r="E162" s="60" t="n"/>
      <c r="F162" s="60" t="n"/>
      <c r="G162" s="62" t="n"/>
      <c r="H162" s="62" t="n"/>
      <c r="I162" s="62" t="n"/>
      <c r="J162" s="60" t="n"/>
      <c r="K162" s="60" t="n"/>
      <c r="L162" s="60" t="n"/>
      <c r="M162" s="61" t="n"/>
      <c r="N162" s="60" t="n"/>
      <c r="O162" s="60" t="n"/>
      <c r="P162" s="60" t="n"/>
      <c r="Q162" s="60" t="n"/>
      <c r="R162" s="60" t="n"/>
      <c r="S162" s="60" t="n"/>
      <c r="T162" s="60" t="n"/>
      <c r="U162" s="60" t="n"/>
      <c r="V162" s="60" t="n"/>
      <c r="W162" s="60" t="n"/>
      <c r="X162" s="60" t="n"/>
      <c r="Y162" s="63">
        <f>IF($H162="","",TODAY()-$H162)</f>
        <v/>
      </c>
      <c r="Z162" s="63">
        <f>IF($A162="","",IF(AND($F162="Yes",OR($U162="No",$U162="NOT FOUND")),"YES",""))</f>
        <v/>
      </c>
      <c r="AA162" s="66">
        <f>IF($A162="","",TRIM(IF(AND($P162=0,$L162&lt;&gt;"Yes"),"T0-NoSmartcard ","")&amp;IF(AND($J162&lt;&gt;"",$J162&gt;365),"StalePwd ","")&amp;IF($K162="Yes","PwdNeverExpires ","")&amp;IF(AND($S162&lt;&gt;"",$S162&lt;&gt;"None"),"Delegation ","")&amp;IF(AND($Q162=1,$O162="None"),"StaleAdminCount ","")&amp;IF(AND($F162="Yes",$H162=""),"NeverLoggedOn ","")))</f>
        <v/>
      </c>
      <c r="AB162" s="60" t="n"/>
      <c r="AC162" s="61" t="n"/>
      <c r="AD162" s="60" t="n"/>
      <c r="AE162" s="62" t="n"/>
      <c r="AF162" s="62" t="n"/>
      <c r="AG162" s="62" t="n"/>
      <c r="AH162" s="60" t="n"/>
      <c r="AI162" s="61" t="n"/>
      <c r="AJ162" s="63">
        <f>IF($A162="","",IF(AF162="","Not Enrolled",IF(TODAY()&gt;AF162,"Review Overdue",IF(AF162-TODAY()&lt;=30,"Review Due Soon","Active"))))</f>
        <v/>
      </c>
      <c r="AK162" s="63">
        <f>IF($A162="","",IF(AG162="","NOT REVIEWED",IF(TODAY()-AG162&gt;90,"OVERDUE",IF(TODAY()-AG162&gt;76,"Due Soon","Current"))))</f>
        <v/>
      </c>
    </row>
    <row r="163" ht="15" customHeight="1" s="39">
      <c r="A163" s="60" t="n"/>
      <c r="B163" s="60" t="n"/>
      <c r="C163" s="61" t="n"/>
      <c r="D163" s="61" t="n"/>
      <c r="E163" s="60" t="n"/>
      <c r="F163" s="60" t="n"/>
      <c r="G163" s="62" t="n"/>
      <c r="H163" s="62" t="n"/>
      <c r="I163" s="62" t="n"/>
      <c r="J163" s="60" t="n"/>
      <c r="K163" s="60" t="n"/>
      <c r="L163" s="60" t="n"/>
      <c r="M163" s="61" t="n"/>
      <c r="N163" s="60" t="n"/>
      <c r="O163" s="60" t="n"/>
      <c r="P163" s="60" t="n"/>
      <c r="Q163" s="60" t="n"/>
      <c r="R163" s="60" t="n"/>
      <c r="S163" s="60" t="n"/>
      <c r="T163" s="60" t="n"/>
      <c r="U163" s="60" t="n"/>
      <c r="V163" s="60" t="n"/>
      <c r="W163" s="60" t="n"/>
      <c r="X163" s="60" t="n"/>
      <c r="Y163" s="63">
        <f>IF($H163="","",TODAY()-$H163)</f>
        <v/>
      </c>
      <c r="Z163" s="63">
        <f>IF($A163="","",IF(AND($F163="Yes",OR($U163="No",$U163="NOT FOUND")),"YES",""))</f>
        <v/>
      </c>
      <c r="AA163" s="66">
        <f>IF($A163="","",TRIM(IF(AND($P163=0,$L163&lt;&gt;"Yes"),"T0-NoSmartcard ","")&amp;IF(AND($J163&lt;&gt;"",$J163&gt;365),"StalePwd ","")&amp;IF($K163="Yes","PwdNeverExpires ","")&amp;IF(AND($S163&lt;&gt;"",$S163&lt;&gt;"None"),"Delegation ","")&amp;IF(AND($Q163=1,$O163="None"),"StaleAdminCount ","")&amp;IF(AND($F163="Yes",$H163=""),"NeverLoggedOn ","")))</f>
        <v/>
      </c>
      <c r="AB163" s="60" t="n"/>
      <c r="AC163" s="61" t="n"/>
      <c r="AD163" s="60" t="n"/>
      <c r="AE163" s="62" t="n"/>
      <c r="AF163" s="62" t="n"/>
      <c r="AG163" s="62" t="n"/>
      <c r="AH163" s="60" t="n"/>
      <c r="AI163" s="61" t="n"/>
      <c r="AJ163" s="63">
        <f>IF($A163="","",IF(AF163="","Not Enrolled",IF(TODAY()&gt;AF163,"Review Overdue",IF(AF163-TODAY()&lt;=30,"Review Due Soon","Active"))))</f>
        <v/>
      </c>
      <c r="AK163" s="63">
        <f>IF($A163="","",IF(AG163="","NOT REVIEWED",IF(TODAY()-AG163&gt;90,"OVERDUE",IF(TODAY()-AG163&gt;76,"Due Soon","Current"))))</f>
        <v/>
      </c>
    </row>
    <row r="164" ht="15" customHeight="1" s="39">
      <c r="A164" s="60" t="n"/>
      <c r="B164" s="60" t="n"/>
      <c r="C164" s="61" t="n"/>
      <c r="D164" s="61" t="n"/>
      <c r="E164" s="60" t="n"/>
      <c r="F164" s="60" t="n"/>
      <c r="G164" s="62" t="n"/>
      <c r="H164" s="62" t="n"/>
      <c r="I164" s="62" t="n"/>
      <c r="J164" s="60" t="n"/>
      <c r="K164" s="60" t="n"/>
      <c r="L164" s="60" t="n"/>
      <c r="M164" s="61" t="n"/>
      <c r="N164" s="60" t="n"/>
      <c r="O164" s="60" t="n"/>
      <c r="P164" s="60" t="n"/>
      <c r="Q164" s="60" t="n"/>
      <c r="R164" s="60" t="n"/>
      <c r="S164" s="60" t="n"/>
      <c r="T164" s="60" t="n"/>
      <c r="U164" s="60" t="n"/>
      <c r="V164" s="60" t="n"/>
      <c r="W164" s="60" t="n"/>
      <c r="X164" s="60" t="n"/>
      <c r="Y164" s="63">
        <f>IF($H164="","",TODAY()-$H164)</f>
        <v/>
      </c>
      <c r="Z164" s="63">
        <f>IF($A164="","",IF(AND($F164="Yes",OR($U164="No",$U164="NOT FOUND")),"YES",""))</f>
        <v/>
      </c>
      <c r="AA164" s="66">
        <f>IF($A164="","",TRIM(IF(AND($P164=0,$L164&lt;&gt;"Yes"),"T0-NoSmartcard ","")&amp;IF(AND($J164&lt;&gt;"",$J164&gt;365),"StalePwd ","")&amp;IF($K164="Yes","PwdNeverExpires ","")&amp;IF(AND($S164&lt;&gt;"",$S164&lt;&gt;"None"),"Delegation ","")&amp;IF(AND($Q164=1,$O164="None"),"StaleAdminCount ","")&amp;IF(AND($F164="Yes",$H164=""),"NeverLoggedOn ","")))</f>
        <v/>
      </c>
      <c r="AB164" s="60" t="n"/>
      <c r="AC164" s="61" t="n"/>
      <c r="AD164" s="60" t="n"/>
      <c r="AE164" s="62" t="n"/>
      <c r="AF164" s="62" t="n"/>
      <c r="AG164" s="62" t="n"/>
      <c r="AH164" s="60" t="n"/>
      <c r="AI164" s="61" t="n"/>
      <c r="AJ164" s="63">
        <f>IF($A164="","",IF(AF164="","Not Enrolled",IF(TODAY()&gt;AF164,"Review Overdue",IF(AF164-TODAY()&lt;=30,"Review Due Soon","Active"))))</f>
        <v/>
      </c>
      <c r="AK164" s="63">
        <f>IF($A164="","",IF(AG164="","NOT REVIEWED",IF(TODAY()-AG164&gt;90,"OVERDUE",IF(TODAY()-AG164&gt;76,"Due Soon","Current"))))</f>
        <v/>
      </c>
    </row>
    <row r="165" ht="15" customHeight="1" s="39">
      <c r="A165" s="60" t="n"/>
      <c r="B165" s="60" t="n"/>
      <c r="C165" s="61" t="n"/>
      <c r="D165" s="61" t="n"/>
      <c r="E165" s="60" t="n"/>
      <c r="F165" s="60" t="n"/>
      <c r="G165" s="62" t="n"/>
      <c r="H165" s="62" t="n"/>
      <c r="I165" s="62" t="n"/>
      <c r="J165" s="60" t="n"/>
      <c r="K165" s="60" t="n"/>
      <c r="L165" s="60" t="n"/>
      <c r="M165" s="61" t="n"/>
      <c r="N165" s="60" t="n"/>
      <c r="O165" s="60" t="n"/>
      <c r="P165" s="60" t="n"/>
      <c r="Q165" s="60" t="n"/>
      <c r="R165" s="60" t="n"/>
      <c r="S165" s="60" t="n"/>
      <c r="T165" s="60" t="n"/>
      <c r="U165" s="60" t="n"/>
      <c r="V165" s="60" t="n"/>
      <c r="W165" s="60" t="n"/>
      <c r="X165" s="60" t="n"/>
      <c r="Y165" s="63">
        <f>IF($H165="","",TODAY()-$H165)</f>
        <v/>
      </c>
      <c r="Z165" s="63">
        <f>IF($A165="","",IF(AND($F165="Yes",OR($U165="No",$U165="NOT FOUND")),"YES",""))</f>
        <v/>
      </c>
      <c r="AA165" s="66">
        <f>IF($A165="","",TRIM(IF(AND($P165=0,$L165&lt;&gt;"Yes"),"T0-NoSmartcard ","")&amp;IF(AND($J165&lt;&gt;"",$J165&gt;365),"StalePwd ","")&amp;IF($K165="Yes","PwdNeverExpires ","")&amp;IF(AND($S165&lt;&gt;"",$S165&lt;&gt;"None"),"Delegation ","")&amp;IF(AND($Q165=1,$O165="None"),"StaleAdminCount ","")&amp;IF(AND($F165="Yes",$H165=""),"NeverLoggedOn ","")))</f>
        <v/>
      </c>
      <c r="AB165" s="60" t="n"/>
      <c r="AC165" s="61" t="n"/>
      <c r="AD165" s="60" t="n"/>
      <c r="AE165" s="62" t="n"/>
      <c r="AF165" s="62" t="n"/>
      <c r="AG165" s="62" t="n"/>
      <c r="AH165" s="60" t="n"/>
      <c r="AI165" s="61" t="n"/>
      <c r="AJ165" s="63">
        <f>IF($A165="","",IF(AF165="","Not Enrolled",IF(TODAY()&gt;AF165,"Review Overdue",IF(AF165-TODAY()&lt;=30,"Review Due Soon","Active"))))</f>
        <v/>
      </c>
      <c r="AK165" s="63">
        <f>IF($A165="","",IF(AG165="","NOT REVIEWED",IF(TODAY()-AG165&gt;90,"OVERDUE",IF(TODAY()-AG165&gt;76,"Due Soon","Current"))))</f>
        <v/>
      </c>
    </row>
    <row r="166" ht="15" customHeight="1" s="39">
      <c r="A166" s="60" t="n"/>
      <c r="B166" s="60" t="n"/>
      <c r="C166" s="61" t="n"/>
      <c r="D166" s="61" t="n"/>
      <c r="E166" s="60" t="n"/>
      <c r="F166" s="60" t="n"/>
      <c r="G166" s="62" t="n"/>
      <c r="H166" s="62" t="n"/>
      <c r="I166" s="62" t="n"/>
      <c r="J166" s="60" t="n"/>
      <c r="K166" s="60" t="n"/>
      <c r="L166" s="60" t="n"/>
      <c r="M166" s="61" t="n"/>
      <c r="N166" s="60" t="n"/>
      <c r="O166" s="60" t="n"/>
      <c r="P166" s="60" t="n"/>
      <c r="Q166" s="60" t="n"/>
      <c r="R166" s="60" t="n"/>
      <c r="S166" s="60" t="n"/>
      <c r="T166" s="60" t="n"/>
      <c r="U166" s="60" t="n"/>
      <c r="V166" s="60" t="n"/>
      <c r="W166" s="60" t="n"/>
      <c r="X166" s="60" t="n"/>
      <c r="Y166" s="63">
        <f>IF($H166="","",TODAY()-$H166)</f>
        <v/>
      </c>
      <c r="Z166" s="63">
        <f>IF($A166="","",IF(AND($F166="Yes",OR($U166="No",$U166="NOT FOUND")),"YES",""))</f>
        <v/>
      </c>
      <c r="AA166" s="66">
        <f>IF($A166="","",TRIM(IF(AND($P166=0,$L166&lt;&gt;"Yes"),"T0-NoSmartcard ","")&amp;IF(AND($J166&lt;&gt;"",$J166&gt;365),"StalePwd ","")&amp;IF($K166="Yes","PwdNeverExpires ","")&amp;IF(AND($S166&lt;&gt;"",$S166&lt;&gt;"None"),"Delegation ","")&amp;IF(AND($Q166=1,$O166="None"),"StaleAdminCount ","")&amp;IF(AND($F166="Yes",$H166=""),"NeverLoggedOn ","")))</f>
        <v/>
      </c>
      <c r="AB166" s="60" t="n"/>
      <c r="AC166" s="61" t="n"/>
      <c r="AD166" s="60" t="n"/>
      <c r="AE166" s="62" t="n"/>
      <c r="AF166" s="62" t="n"/>
      <c r="AG166" s="62" t="n"/>
      <c r="AH166" s="60" t="n"/>
      <c r="AI166" s="61" t="n"/>
      <c r="AJ166" s="63">
        <f>IF($A166="","",IF(AF166="","Not Enrolled",IF(TODAY()&gt;AF166,"Review Overdue",IF(AF166-TODAY()&lt;=30,"Review Due Soon","Active"))))</f>
        <v/>
      </c>
      <c r="AK166" s="63">
        <f>IF($A166="","",IF(AG166="","NOT REVIEWED",IF(TODAY()-AG166&gt;90,"OVERDUE",IF(TODAY()-AG166&gt;76,"Due Soon","Current"))))</f>
        <v/>
      </c>
    </row>
    <row r="167" ht="15" customHeight="1" s="39">
      <c r="A167" s="60" t="n"/>
      <c r="B167" s="60" t="n"/>
      <c r="C167" s="61" t="n"/>
      <c r="D167" s="61" t="n"/>
      <c r="E167" s="60" t="n"/>
      <c r="F167" s="60" t="n"/>
      <c r="G167" s="62" t="n"/>
      <c r="H167" s="62" t="n"/>
      <c r="I167" s="62" t="n"/>
      <c r="J167" s="60" t="n"/>
      <c r="K167" s="60" t="n"/>
      <c r="L167" s="60" t="n"/>
      <c r="M167" s="61" t="n"/>
      <c r="N167" s="60" t="n"/>
      <c r="O167" s="60" t="n"/>
      <c r="P167" s="60" t="n"/>
      <c r="Q167" s="60" t="n"/>
      <c r="R167" s="60" t="n"/>
      <c r="S167" s="60" t="n"/>
      <c r="T167" s="60" t="n"/>
      <c r="U167" s="60" t="n"/>
      <c r="V167" s="60" t="n"/>
      <c r="W167" s="60" t="n"/>
      <c r="X167" s="60" t="n"/>
      <c r="Y167" s="63">
        <f>IF($H167="","",TODAY()-$H167)</f>
        <v/>
      </c>
      <c r="Z167" s="63">
        <f>IF($A167="","",IF(AND($F167="Yes",OR($U167="No",$U167="NOT FOUND")),"YES",""))</f>
        <v/>
      </c>
      <c r="AA167" s="66">
        <f>IF($A167="","",TRIM(IF(AND($P167=0,$L167&lt;&gt;"Yes"),"T0-NoSmartcard ","")&amp;IF(AND($J167&lt;&gt;"",$J167&gt;365),"StalePwd ","")&amp;IF($K167="Yes","PwdNeverExpires ","")&amp;IF(AND($S167&lt;&gt;"",$S167&lt;&gt;"None"),"Delegation ","")&amp;IF(AND($Q167=1,$O167="None"),"StaleAdminCount ","")&amp;IF(AND($F167="Yes",$H167=""),"NeverLoggedOn ","")))</f>
        <v/>
      </c>
      <c r="AB167" s="60" t="n"/>
      <c r="AC167" s="61" t="n"/>
      <c r="AD167" s="60" t="n"/>
      <c r="AE167" s="62" t="n"/>
      <c r="AF167" s="62" t="n"/>
      <c r="AG167" s="62" t="n"/>
      <c r="AH167" s="60" t="n"/>
      <c r="AI167" s="61" t="n"/>
      <c r="AJ167" s="63">
        <f>IF($A167="","",IF(AF167="","Not Enrolled",IF(TODAY()&gt;AF167,"Review Overdue",IF(AF167-TODAY()&lt;=30,"Review Due Soon","Active"))))</f>
        <v/>
      </c>
      <c r="AK167" s="63">
        <f>IF($A167="","",IF(AG167="","NOT REVIEWED",IF(TODAY()-AG167&gt;90,"OVERDUE",IF(TODAY()-AG167&gt;76,"Due Soon","Current"))))</f>
        <v/>
      </c>
    </row>
    <row r="168" ht="15" customHeight="1" s="39">
      <c r="A168" s="60" t="n"/>
      <c r="B168" s="60" t="n"/>
      <c r="C168" s="61" t="n"/>
      <c r="D168" s="61" t="n"/>
      <c r="E168" s="60" t="n"/>
      <c r="F168" s="60" t="n"/>
      <c r="G168" s="62" t="n"/>
      <c r="H168" s="62" t="n"/>
      <c r="I168" s="62" t="n"/>
      <c r="J168" s="60" t="n"/>
      <c r="K168" s="60" t="n"/>
      <c r="L168" s="60" t="n"/>
      <c r="M168" s="61" t="n"/>
      <c r="N168" s="60" t="n"/>
      <c r="O168" s="60" t="n"/>
      <c r="P168" s="60" t="n"/>
      <c r="Q168" s="60" t="n"/>
      <c r="R168" s="60" t="n"/>
      <c r="S168" s="60" t="n"/>
      <c r="T168" s="60" t="n"/>
      <c r="U168" s="60" t="n"/>
      <c r="V168" s="60" t="n"/>
      <c r="W168" s="60" t="n"/>
      <c r="X168" s="60" t="n"/>
      <c r="Y168" s="63">
        <f>IF($H168="","",TODAY()-$H168)</f>
        <v/>
      </c>
      <c r="Z168" s="63">
        <f>IF($A168="","",IF(AND($F168="Yes",OR($U168="No",$U168="NOT FOUND")),"YES",""))</f>
        <v/>
      </c>
      <c r="AA168" s="66">
        <f>IF($A168="","",TRIM(IF(AND($P168=0,$L168&lt;&gt;"Yes"),"T0-NoSmartcard ","")&amp;IF(AND($J168&lt;&gt;"",$J168&gt;365),"StalePwd ","")&amp;IF($K168="Yes","PwdNeverExpires ","")&amp;IF(AND($S168&lt;&gt;"",$S168&lt;&gt;"None"),"Delegation ","")&amp;IF(AND($Q168=1,$O168="None"),"StaleAdminCount ","")&amp;IF(AND($F168="Yes",$H168=""),"NeverLoggedOn ","")))</f>
        <v/>
      </c>
      <c r="AB168" s="60" t="n"/>
      <c r="AC168" s="61" t="n"/>
      <c r="AD168" s="60" t="n"/>
      <c r="AE168" s="62" t="n"/>
      <c r="AF168" s="62" t="n"/>
      <c r="AG168" s="62" t="n"/>
      <c r="AH168" s="60" t="n"/>
      <c r="AI168" s="61" t="n"/>
      <c r="AJ168" s="63">
        <f>IF($A168="","",IF(AF168="","Not Enrolled",IF(TODAY()&gt;AF168,"Review Overdue",IF(AF168-TODAY()&lt;=30,"Review Due Soon","Active"))))</f>
        <v/>
      </c>
      <c r="AK168" s="63">
        <f>IF($A168="","",IF(AG168="","NOT REVIEWED",IF(TODAY()-AG168&gt;90,"OVERDUE",IF(TODAY()-AG168&gt;76,"Due Soon","Current"))))</f>
        <v/>
      </c>
    </row>
    <row r="169" ht="15" customHeight="1" s="39">
      <c r="A169" s="60" t="n"/>
      <c r="B169" s="60" t="n"/>
      <c r="C169" s="61" t="n"/>
      <c r="D169" s="61" t="n"/>
      <c r="E169" s="60" t="n"/>
      <c r="F169" s="60" t="n"/>
      <c r="G169" s="62" t="n"/>
      <c r="H169" s="62" t="n"/>
      <c r="I169" s="62" t="n"/>
      <c r="J169" s="60" t="n"/>
      <c r="K169" s="60" t="n"/>
      <c r="L169" s="60" t="n"/>
      <c r="M169" s="61" t="n"/>
      <c r="N169" s="60" t="n"/>
      <c r="O169" s="60" t="n"/>
      <c r="P169" s="60" t="n"/>
      <c r="Q169" s="60" t="n"/>
      <c r="R169" s="60" t="n"/>
      <c r="S169" s="60" t="n"/>
      <c r="T169" s="60" t="n"/>
      <c r="U169" s="60" t="n"/>
      <c r="V169" s="60" t="n"/>
      <c r="W169" s="60" t="n"/>
      <c r="X169" s="60" t="n"/>
      <c r="Y169" s="63">
        <f>IF($H169="","",TODAY()-$H169)</f>
        <v/>
      </c>
      <c r="Z169" s="63">
        <f>IF($A169="","",IF(AND($F169="Yes",OR($U169="No",$U169="NOT FOUND")),"YES",""))</f>
        <v/>
      </c>
      <c r="AA169" s="66">
        <f>IF($A169="","",TRIM(IF(AND($P169=0,$L169&lt;&gt;"Yes"),"T0-NoSmartcard ","")&amp;IF(AND($J169&lt;&gt;"",$J169&gt;365),"StalePwd ","")&amp;IF($K169="Yes","PwdNeverExpires ","")&amp;IF(AND($S169&lt;&gt;"",$S169&lt;&gt;"None"),"Delegation ","")&amp;IF(AND($Q169=1,$O169="None"),"StaleAdminCount ","")&amp;IF(AND($F169="Yes",$H169=""),"NeverLoggedOn ","")))</f>
        <v/>
      </c>
      <c r="AB169" s="60" t="n"/>
      <c r="AC169" s="61" t="n"/>
      <c r="AD169" s="60" t="n"/>
      <c r="AE169" s="62" t="n"/>
      <c r="AF169" s="62" t="n"/>
      <c r="AG169" s="62" t="n"/>
      <c r="AH169" s="60" t="n"/>
      <c r="AI169" s="61" t="n"/>
      <c r="AJ169" s="63">
        <f>IF($A169="","",IF(AF169="","Not Enrolled",IF(TODAY()&gt;AF169,"Review Overdue",IF(AF169-TODAY()&lt;=30,"Review Due Soon","Active"))))</f>
        <v/>
      </c>
      <c r="AK169" s="63">
        <f>IF($A169="","",IF(AG169="","NOT REVIEWED",IF(TODAY()-AG169&gt;90,"OVERDUE",IF(TODAY()-AG169&gt;76,"Due Soon","Current"))))</f>
        <v/>
      </c>
    </row>
    <row r="170" ht="15" customHeight="1" s="39">
      <c r="A170" s="60" t="n"/>
      <c r="B170" s="60" t="n"/>
      <c r="C170" s="61" t="n"/>
      <c r="D170" s="61" t="n"/>
      <c r="E170" s="60" t="n"/>
      <c r="F170" s="60" t="n"/>
      <c r="G170" s="62" t="n"/>
      <c r="H170" s="62" t="n"/>
      <c r="I170" s="62" t="n"/>
      <c r="J170" s="60" t="n"/>
      <c r="K170" s="60" t="n"/>
      <c r="L170" s="60" t="n"/>
      <c r="M170" s="61" t="n"/>
      <c r="N170" s="60" t="n"/>
      <c r="O170" s="60" t="n"/>
      <c r="P170" s="60" t="n"/>
      <c r="Q170" s="60" t="n"/>
      <c r="R170" s="60" t="n"/>
      <c r="S170" s="60" t="n"/>
      <c r="T170" s="60" t="n"/>
      <c r="U170" s="60" t="n"/>
      <c r="V170" s="60" t="n"/>
      <c r="W170" s="60" t="n"/>
      <c r="X170" s="60" t="n"/>
      <c r="Y170" s="63">
        <f>IF($H170="","",TODAY()-$H170)</f>
        <v/>
      </c>
      <c r="Z170" s="63">
        <f>IF($A170="","",IF(AND($F170="Yes",OR($U170="No",$U170="NOT FOUND")),"YES",""))</f>
        <v/>
      </c>
      <c r="AA170" s="66">
        <f>IF($A170="","",TRIM(IF(AND($P170=0,$L170&lt;&gt;"Yes"),"T0-NoSmartcard ","")&amp;IF(AND($J170&lt;&gt;"",$J170&gt;365),"StalePwd ","")&amp;IF($K170="Yes","PwdNeverExpires ","")&amp;IF(AND($S170&lt;&gt;"",$S170&lt;&gt;"None"),"Delegation ","")&amp;IF(AND($Q170=1,$O170="None"),"StaleAdminCount ","")&amp;IF(AND($F170="Yes",$H170=""),"NeverLoggedOn ","")))</f>
        <v/>
      </c>
      <c r="AB170" s="60" t="n"/>
      <c r="AC170" s="61" t="n"/>
      <c r="AD170" s="60" t="n"/>
      <c r="AE170" s="62" t="n"/>
      <c r="AF170" s="62" t="n"/>
      <c r="AG170" s="62" t="n"/>
      <c r="AH170" s="60" t="n"/>
      <c r="AI170" s="61" t="n"/>
      <c r="AJ170" s="63">
        <f>IF($A170="","",IF(AF170="","Not Enrolled",IF(TODAY()&gt;AF170,"Review Overdue",IF(AF170-TODAY()&lt;=30,"Review Due Soon","Active"))))</f>
        <v/>
      </c>
      <c r="AK170" s="63">
        <f>IF($A170="","",IF(AG170="","NOT REVIEWED",IF(TODAY()-AG170&gt;90,"OVERDUE",IF(TODAY()-AG170&gt;76,"Due Soon","Current"))))</f>
        <v/>
      </c>
    </row>
    <row r="171" ht="15" customHeight="1" s="39">
      <c r="A171" s="60" t="n"/>
      <c r="B171" s="60" t="n"/>
      <c r="C171" s="61" t="n"/>
      <c r="D171" s="61" t="n"/>
      <c r="E171" s="60" t="n"/>
      <c r="F171" s="60" t="n"/>
      <c r="G171" s="62" t="n"/>
      <c r="H171" s="62" t="n"/>
      <c r="I171" s="62" t="n"/>
      <c r="J171" s="60" t="n"/>
      <c r="K171" s="60" t="n"/>
      <c r="L171" s="60" t="n"/>
      <c r="M171" s="61" t="n"/>
      <c r="N171" s="60" t="n"/>
      <c r="O171" s="60" t="n"/>
      <c r="P171" s="60" t="n"/>
      <c r="Q171" s="60" t="n"/>
      <c r="R171" s="60" t="n"/>
      <c r="S171" s="60" t="n"/>
      <c r="T171" s="60" t="n"/>
      <c r="U171" s="60" t="n"/>
      <c r="V171" s="60" t="n"/>
      <c r="W171" s="60" t="n"/>
      <c r="X171" s="60" t="n"/>
      <c r="Y171" s="63">
        <f>IF($H171="","",TODAY()-$H171)</f>
        <v/>
      </c>
      <c r="Z171" s="63">
        <f>IF($A171="","",IF(AND($F171="Yes",OR($U171="No",$U171="NOT FOUND")),"YES",""))</f>
        <v/>
      </c>
      <c r="AA171" s="66">
        <f>IF($A171="","",TRIM(IF(AND($P171=0,$L171&lt;&gt;"Yes"),"T0-NoSmartcard ","")&amp;IF(AND($J171&lt;&gt;"",$J171&gt;365),"StalePwd ","")&amp;IF($K171="Yes","PwdNeverExpires ","")&amp;IF(AND($S171&lt;&gt;"",$S171&lt;&gt;"None"),"Delegation ","")&amp;IF(AND($Q171=1,$O171="None"),"StaleAdminCount ","")&amp;IF(AND($F171="Yes",$H171=""),"NeverLoggedOn ","")))</f>
        <v/>
      </c>
      <c r="AB171" s="60" t="n"/>
      <c r="AC171" s="61" t="n"/>
      <c r="AD171" s="60" t="n"/>
      <c r="AE171" s="62" t="n"/>
      <c r="AF171" s="62" t="n"/>
      <c r="AG171" s="62" t="n"/>
      <c r="AH171" s="60" t="n"/>
      <c r="AI171" s="61" t="n"/>
      <c r="AJ171" s="63">
        <f>IF($A171="","",IF(AF171="","Not Enrolled",IF(TODAY()&gt;AF171,"Review Overdue",IF(AF171-TODAY()&lt;=30,"Review Due Soon","Active"))))</f>
        <v/>
      </c>
      <c r="AK171" s="63">
        <f>IF($A171="","",IF(AG171="","NOT REVIEWED",IF(TODAY()-AG171&gt;90,"OVERDUE",IF(TODAY()-AG171&gt;76,"Due Soon","Current"))))</f>
        <v/>
      </c>
    </row>
    <row r="172" ht="15" customHeight="1" s="39">
      <c r="A172" s="60" t="n"/>
      <c r="B172" s="60" t="n"/>
      <c r="C172" s="61" t="n"/>
      <c r="D172" s="61" t="n"/>
      <c r="E172" s="60" t="n"/>
      <c r="F172" s="60" t="n"/>
      <c r="G172" s="62" t="n"/>
      <c r="H172" s="62" t="n"/>
      <c r="I172" s="62" t="n"/>
      <c r="J172" s="60" t="n"/>
      <c r="K172" s="60" t="n"/>
      <c r="L172" s="60" t="n"/>
      <c r="M172" s="61" t="n"/>
      <c r="N172" s="60" t="n"/>
      <c r="O172" s="60" t="n"/>
      <c r="P172" s="60" t="n"/>
      <c r="Q172" s="60" t="n"/>
      <c r="R172" s="60" t="n"/>
      <c r="S172" s="60" t="n"/>
      <c r="T172" s="60" t="n"/>
      <c r="U172" s="60" t="n"/>
      <c r="V172" s="60" t="n"/>
      <c r="W172" s="60" t="n"/>
      <c r="X172" s="60" t="n"/>
      <c r="Y172" s="63">
        <f>IF($H172="","",TODAY()-$H172)</f>
        <v/>
      </c>
      <c r="Z172" s="63">
        <f>IF($A172="","",IF(AND($F172="Yes",OR($U172="No",$U172="NOT FOUND")),"YES",""))</f>
        <v/>
      </c>
      <c r="AA172" s="66">
        <f>IF($A172="","",TRIM(IF(AND($P172=0,$L172&lt;&gt;"Yes"),"T0-NoSmartcard ","")&amp;IF(AND($J172&lt;&gt;"",$J172&gt;365),"StalePwd ","")&amp;IF($K172="Yes","PwdNeverExpires ","")&amp;IF(AND($S172&lt;&gt;"",$S172&lt;&gt;"None"),"Delegation ","")&amp;IF(AND($Q172=1,$O172="None"),"StaleAdminCount ","")&amp;IF(AND($F172="Yes",$H172=""),"NeverLoggedOn ","")))</f>
        <v/>
      </c>
      <c r="AB172" s="60" t="n"/>
      <c r="AC172" s="61" t="n"/>
      <c r="AD172" s="60" t="n"/>
      <c r="AE172" s="62" t="n"/>
      <c r="AF172" s="62" t="n"/>
      <c r="AG172" s="62" t="n"/>
      <c r="AH172" s="60" t="n"/>
      <c r="AI172" s="61" t="n"/>
      <c r="AJ172" s="63">
        <f>IF($A172="","",IF(AF172="","Not Enrolled",IF(TODAY()&gt;AF172,"Review Overdue",IF(AF172-TODAY()&lt;=30,"Review Due Soon","Active"))))</f>
        <v/>
      </c>
      <c r="AK172" s="63">
        <f>IF($A172="","",IF(AG172="","NOT REVIEWED",IF(TODAY()-AG172&gt;90,"OVERDUE",IF(TODAY()-AG172&gt;76,"Due Soon","Current"))))</f>
        <v/>
      </c>
    </row>
    <row r="173" ht="15" customHeight="1" s="39">
      <c r="A173" s="60" t="n"/>
      <c r="B173" s="60" t="n"/>
      <c r="C173" s="61" t="n"/>
      <c r="D173" s="61" t="n"/>
      <c r="E173" s="60" t="n"/>
      <c r="F173" s="60" t="n"/>
      <c r="G173" s="62" t="n"/>
      <c r="H173" s="62" t="n"/>
      <c r="I173" s="62" t="n"/>
      <c r="J173" s="60" t="n"/>
      <c r="K173" s="60" t="n"/>
      <c r="L173" s="60" t="n"/>
      <c r="M173" s="61" t="n"/>
      <c r="N173" s="60" t="n"/>
      <c r="O173" s="60" t="n"/>
      <c r="P173" s="60" t="n"/>
      <c r="Q173" s="60" t="n"/>
      <c r="R173" s="60" t="n"/>
      <c r="S173" s="60" t="n"/>
      <c r="T173" s="60" t="n"/>
      <c r="U173" s="60" t="n"/>
      <c r="V173" s="60" t="n"/>
      <c r="W173" s="60" t="n"/>
      <c r="X173" s="60" t="n"/>
      <c r="Y173" s="63">
        <f>IF($H173="","",TODAY()-$H173)</f>
        <v/>
      </c>
      <c r="Z173" s="63">
        <f>IF($A173="","",IF(AND($F173="Yes",OR($U173="No",$U173="NOT FOUND")),"YES",""))</f>
        <v/>
      </c>
      <c r="AA173" s="66">
        <f>IF($A173="","",TRIM(IF(AND($P173=0,$L173&lt;&gt;"Yes"),"T0-NoSmartcard ","")&amp;IF(AND($J173&lt;&gt;"",$J173&gt;365),"StalePwd ","")&amp;IF($K173="Yes","PwdNeverExpires ","")&amp;IF(AND($S173&lt;&gt;"",$S173&lt;&gt;"None"),"Delegation ","")&amp;IF(AND($Q173=1,$O173="None"),"StaleAdminCount ","")&amp;IF(AND($F173="Yes",$H173=""),"NeverLoggedOn ","")))</f>
        <v/>
      </c>
      <c r="AB173" s="60" t="n"/>
      <c r="AC173" s="61" t="n"/>
      <c r="AD173" s="60" t="n"/>
      <c r="AE173" s="62" t="n"/>
      <c r="AF173" s="62" t="n"/>
      <c r="AG173" s="62" t="n"/>
      <c r="AH173" s="60" t="n"/>
      <c r="AI173" s="61" t="n"/>
      <c r="AJ173" s="63">
        <f>IF($A173="","",IF(AF173="","Not Enrolled",IF(TODAY()&gt;AF173,"Review Overdue",IF(AF173-TODAY()&lt;=30,"Review Due Soon","Active"))))</f>
        <v/>
      </c>
      <c r="AK173" s="63">
        <f>IF($A173="","",IF(AG173="","NOT REVIEWED",IF(TODAY()-AG173&gt;90,"OVERDUE",IF(TODAY()-AG173&gt;76,"Due Soon","Current"))))</f>
        <v/>
      </c>
    </row>
    <row r="174" ht="15" customHeight="1" s="39">
      <c r="A174" s="60" t="n"/>
      <c r="B174" s="60" t="n"/>
      <c r="C174" s="61" t="n"/>
      <c r="D174" s="61" t="n"/>
      <c r="E174" s="60" t="n"/>
      <c r="F174" s="60" t="n"/>
      <c r="G174" s="62" t="n"/>
      <c r="H174" s="62" t="n"/>
      <c r="I174" s="62" t="n"/>
      <c r="J174" s="60" t="n"/>
      <c r="K174" s="60" t="n"/>
      <c r="L174" s="60" t="n"/>
      <c r="M174" s="61" t="n"/>
      <c r="N174" s="60" t="n"/>
      <c r="O174" s="60" t="n"/>
      <c r="P174" s="60" t="n"/>
      <c r="Q174" s="60" t="n"/>
      <c r="R174" s="60" t="n"/>
      <c r="S174" s="60" t="n"/>
      <c r="T174" s="60" t="n"/>
      <c r="U174" s="60" t="n"/>
      <c r="V174" s="60" t="n"/>
      <c r="W174" s="60" t="n"/>
      <c r="X174" s="60" t="n"/>
      <c r="Y174" s="63">
        <f>IF($H174="","",TODAY()-$H174)</f>
        <v/>
      </c>
      <c r="Z174" s="63">
        <f>IF($A174="","",IF(AND($F174="Yes",OR($U174="No",$U174="NOT FOUND")),"YES",""))</f>
        <v/>
      </c>
      <c r="AA174" s="66">
        <f>IF($A174="","",TRIM(IF(AND($P174=0,$L174&lt;&gt;"Yes"),"T0-NoSmartcard ","")&amp;IF(AND($J174&lt;&gt;"",$J174&gt;365),"StalePwd ","")&amp;IF($K174="Yes","PwdNeverExpires ","")&amp;IF(AND($S174&lt;&gt;"",$S174&lt;&gt;"None"),"Delegation ","")&amp;IF(AND($Q174=1,$O174="None"),"StaleAdminCount ","")&amp;IF(AND($F174="Yes",$H174=""),"NeverLoggedOn ","")))</f>
        <v/>
      </c>
      <c r="AB174" s="60" t="n"/>
      <c r="AC174" s="61" t="n"/>
      <c r="AD174" s="60" t="n"/>
      <c r="AE174" s="62" t="n"/>
      <c r="AF174" s="62" t="n"/>
      <c r="AG174" s="62" t="n"/>
      <c r="AH174" s="60" t="n"/>
      <c r="AI174" s="61" t="n"/>
      <c r="AJ174" s="63">
        <f>IF($A174="","",IF(AF174="","Not Enrolled",IF(TODAY()&gt;AF174,"Review Overdue",IF(AF174-TODAY()&lt;=30,"Review Due Soon","Active"))))</f>
        <v/>
      </c>
      <c r="AK174" s="63">
        <f>IF($A174="","",IF(AG174="","NOT REVIEWED",IF(TODAY()-AG174&gt;90,"OVERDUE",IF(TODAY()-AG174&gt;76,"Due Soon","Current"))))</f>
        <v/>
      </c>
    </row>
    <row r="175" ht="15" customHeight="1" s="39">
      <c r="A175" s="60" t="n"/>
      <c r="B175" s="60" t="n"/>
      <c r="C175" s="61" t="n"/>
      <c r="D175" s="61" t="n"/>
      <c r="E175" s="60" t="n"/>
      <c r="F175" s="60" t="n"/>
      <c r="G175" s="62" t="n"/>
      <c r="H175" s="62" t="n"/>
      <c r="I175" s="62" t="n"/>
      <c r="J175" s="60" t="n"/>
      <c r="K175" s="60" t="n"/>
      <c r="L175" s="60" t="n"/>
      <c r="M175" s="61" t="n"/>
      <c r="N175" s="60" t="n"/>
      <c r="O175" s="60" t="n"/>
      <c r="P175" s="60" t="n"/>
      <c r="Q175" s="60" t="n"/>
      <c r="R175" s="60" t="n"/>
      <c r="S175" s="60" t="n"/>
      <c r="T175" s="60" t="n"/>
      <c r="U175" s="60" t="n"/>
      <c r="V175" s="60" t="n"/>
      <c r="W175" s="60" t="n"/>
      <c r="X175" s="60" t="n"/>
      <c r="Y175" s="63">
        <f>IF($H175="","",TODAY()-$H175)</f>
        <v/>
      </c>
      <c r="Z175" s="63">
        <f>IF($A175="","",IF(AND($F175="Yes",OR($U175="No",$U175="NOT FOUND")),"YES",""))</f>
        <v/>
      </c>
      <c r="AA175" s="66">
        <f>IF($A175="","",TRIM(IF(AND($P175=0,$L175&lt;&gt;"Yes"),"T0-NoSmartcard ","")&amp;IF(AND($J175&lt;&gt;"",$J175&gt;365),"StalePwd ","")&amp;IF($K175="Yes","PwdNeverExpires ","")&amp;IF(AND($S175&lt;&gt;"",$S175&lt;&gt;"None"),"Delegation ","")&amp;IF(AND($Q175=1,$O175="None"),"StaleAdminCount ","")&amp;IF(AND($F175="Yes",$H175=""),"NeverLoggedOn ","")))</f>
        <v/>
      </c>
      <c r="AB175" s="60" t="n"/>
      <c r="AC175" s="61" t="n"/>
      <c r="AD175" s="60" t="n"/>
      <c r="AE175" s="62" t="n"/>
      <c r="AF175" s="62" t="n"/>
      <c r="AG175" s="62" t="n"/>
      <c r="AH175" s="60" t="n"/>
      <c r="AI175" s="61" t="n"/>
      <c r="AJ175" s="63">
        <f>IF($A175="","",IF(AF175="","Not Enrolled",IF(TODAY()&gt;AF175,"Review Overdue",IF(AF175-TODAY()&lt;=30,"Review Due Soon","Active"))))</f>
        <v/>
      </c>
      <c r="AK175" s="63">
        <f>IF($A175="","",IF(AG175="","NOT REVIEWED",IF(TODAY()-AG175&gt;90,"OVERDUE",IF(TODAY()-AG175&gt;76,"Due Soon","Current"))))</f>
        <v/>
      </c>
    </row>
    <row r="176" ht="15" customHeight="1" s="39">
      <c r="A176" s="60" t="n"/>
      <c r="B176" s="60" t="n"/>
      <c r="C176" s="61" t="n"/>
      <c r="D176" s="61" t="n"/>
      <c r="E176" s="60" t="n"/>
      <c r="F176" s="60" t="n"/>
      <c r="G176" s="62" t="n"/>
      <c r="H176" s="62" t="n"/>
      <c r="I176" s="62" t="n"/>
      <c r="J176" s="60" t="n"/>
      <c r="K176" s="60" t="n"/>
      <c r="L176" s="60" t="n"/>
      <c r="M176" s="61" t="n"/>
      <c r="N176" s="60" t="n"/>
      <c r="O176" s="60" t="n"/>
      <c r="P176" s="60" t="n"/>
      <c r="Q176" s="60" t="n"/>
      <c r="R176" s="60" t="n"/>
      <c r="S176" s="60" t="n"/>
      <c r="T176" s="60" t="n"/>
      <c r="U176" s="60" t="n"/>
      <c r="V176" s="60" t="n"/>
      <c r="W176" s="60" t="n"/>
      <c r="X176" s="60" t="n"/>
      <c r="Y176" s="63">
        <f>IF($H176="","",TODAY()-$H176)</f>
        <v/>
      </c>
      <c r="Z176" s="63">
        <f>IF($A176="","",IF(AND($F176="Yes",OR($U176="No",$U176="NOT FOUND")),"YES",""))</f>
        <v/>
      </c>
      <c r="AA176" s="66">
        <f>IF($A176="","",TRIM(IF(AND($P176=0,$L176&lt;&gt;"Yes"),"T0-NoSmartcard ","")&amp;IF(AND($J176&lt;&gt;"",$J176&gt;365),"StalePwd ","")&amp;IF($K176="Yes","PwdNeverExpires ","")&amp;IF(AND($S176&lt;&gt;"",$S176&lt;&gt;"None"),"Delegation ","")&amp;IF(AND($Q176=1,$O176="None"),"StaleAdminCount ","")&amp;IF(AND($F176="Yes",$H176=""),"NeverLoggedOn ","")))</f>
        <v/>
      </c>
      <c r="AB176" s="60" t="n"/>
      <c r="AC176" s="61" t="n"/>
      <c r="AD176" s="60" t="n"/>
      <c r="AE176" s="62" t="n"/>
      <c r="AF176" s="62" t="n"/>
      <c r="AG176" s="62" t="n"/>
      <c r="AH176" s="60" t="n"/>
      <c r="AI176" s="61" t="n"/>
      <c r="AJ176" s="63">
        <f>IF($A176="","",IF(AF176="","Not Enrolled",IF(TODAY()&gt;AF176,"Review Overdue",IF(AF176-TODAY()&lt;=30,"Review Due Soon","Active"))))</f>
        <v/>
      </c>
      <c r="AK176" s="63">
        <f>IF($A176="","",IF(AG176="","NOT REVIEWED",IF(TODAY()-AG176&gt;90,"OVERDUE",IF(TODAY()-AG176&gt;76,"Due Soon","Current"))))</f>
        <v/>
      </c>
    </row>
    <row r="177" ht="15" customHeight="1" s="39">
      <c r="A177" s="60" t="n"/>
      <c r="B177" s="60" t="n"/>
      <c r="C177" s="61" t="n"/>
      <c r="D177" s="61" t="n"/>
      <c r="E177" s="60" t="n"/>
      <c r="F177" s="60" t="n"/>
      <c r="G177" s="62" t="n"/>
      <c r="H177" s="62" t="n"/>
      <c r="I177" s="62" t="n"/>
      <c r="J177" s="60" t="n"/>
      <c r="K177" s="60" t="n"/>
      <c r="L177" s="60" t="n"/>
      <c r="M177" s="61" t="n"/>
      <c r="N177" s="60" t="n"/>
      <c r="O177" s="60" t="n"/>
      <c r="P177" s="60" t="n"/>
      <c r="Q177" s="60" t="n"/>
      <c r="R177" s="60" t="n"/>
      <c r="S177" s="60" t="n"/>
      <c r="T177" s="60" t="n"/>
      <c r="U177" s="60" t="n"/>
      <c r="V177" s="60" t="n"/>
      <c r="W177" s="60" t="n"/>
      <c r="X177" s="60" t="n"/>
      <c r="Y177" s="63">
        <f>IF($H177="","",TODAY()-$H177)</f>
        <v/>
      </c>
      <c r="Z177" s="63">
        <f>IF($A177="","",IF(AND($F177="Yes",OR($U177="No",$U177="NOT FOUND")),"YES",""))</f>
        <v/>
      </c>
      <c r="AA177" s="66">
        <f>IF($A177="","",TRIM(IF(AND($P177=0,$L177&lt;&gt;"Yes"),"T0-NoSmartcard ","")&amp;IF(AND($J177&lt;&gt;"",$J177&gt;365),"StalePwd ","")&amp;IF($K177="Yes","PwdNeverExpires ","")&amp;IF(AND($S177&lt;&gt;"",$S177&lt;&gt;"None"),"Delegation ","")&amp;IF(AND($Q177=1,$O177="None"),"StaleAdminCount ","")&amp;IF(AND($F177="Yes",$H177=""),"NeverLoggedOn ","")))</f>
        <v/>
      </c>
      <c r="AB177" s="60" t="n"/>
      <c r="AC177" s="61" t="n"/>
      <c r="AD177" s="60" t="n"/>
      <c r="AE177" s="62" t="n"/>
      <c r="AF177" s="62" t="n"/>
      <c r="AG177" s="62" t="n"/>
      <c r="AH177" s="60" t="n"/>
      <c r="AI177" s="61" t="n"/>
      <c r="AJ177" s="63">
        <f>IF($A177="","",IF(AF177="","Not Enrolled",IF(TODAY()&gt;AF177,"Review Overdue",IF(AF177-TODAY()&lt;=30,"Review Due Soon","Active"))))</f>
        <v/>
      </c>
      <c r="AK177" s="63">
        <f>IF($A177="","",IF(AG177="","NOT REVIEWED",IF(TODAY()-AG177&gt;90,"OVERDUE",IF(TODAY()-AG177&gt;76,"Due Soon","Current"))))</f>
        <v/>
      </c>
    </row>
    <row r="178" ht="15" customHeight="1" s="39">
      <c r="A178" s="60" t="n"/>
      <c r="B178" s="60" t="n"/>
      <c r="C178" s="61" t="n"/>
      <c r="D178" s="61" t="n"/>
      <c r="E178" s="60" t="n"/>
      <c r="F178" s="60" t="n"/>
      <c r="G178" s="62" t="n"/>
      <c r="H178" s="62" t="n"/>
      <c r="I178" s="62" t="n"/>
      <c r="J178" s="60" t="n"/>
      <c r="K178" s="60" t="n"/>
      <c r="L178" s="60" t="n"/>
      <c r="M178" s="61" t="n"/>
      <c r="N178" s="60" t="n"/>
      <c r="O178" s="60" t="n"/>
      <c r="P178" s="60" t="n"/>
      <c r="Q178" s="60" t="n"/>
      <c r="R178" s="60" t="n"/>
      <c r="S178" s="60" t="n"/>
      <c r="T178" s="60" t="n"/>
      <c r="U178" s="60" t="n"/>
      <c r="V178" s="60" t="n"/>
      <c r="W178" s="60" t="n"/>
      <c r="X178" s="60" t="n"/>
      <c r="Y178" s="63">
        <f>IF($H178="","",TODAY()-$H178)</f>
        <v/>
      </c>
      <c r="Z178" s="63">
        <f>IF($A178="","",IF(AND($F178="Yes",OR($U178="No",$U178="NOT FOUND")),"YES",""))</f>
        <v/>
      </c>
      <c r="AA178" s="66">
        <f>IF($A178="","",TRIM(IF(AND($P178=0,$L178&lt;&gt;"Yes"),"T0-NoSmartcard ","")&amp;IF(AND($J178&lt;&gt;"",$J178&gt;365),"StalePwd ","")&amp;IF($K178="Yes","PwdNeverExpires ","")&amp;IF(AND($S178&lt;&gt;"",$S178&lt;&gt;"None"),"Delegation ","")&amp;IF(AND($Q178=1,$O178="None"),"StaleAdminCount ","")&amp;IF(AND($F178="Yes",$H178=""),"NeverLoggedOn ","")))</f>
        <v/>
      </c>
      <c r="AB178" s="60" t="n"/>
      <c r="AC178" s="61" t="n"/>
      <c r="AD178" s="60" t="n"/>
      <c r="AE178" s="62" t="n"/>
      <c r="AF178" s="62" t="n"/>
      <c r="AG178" s="62" t="n"/>
      <c r="AH178" s="60" t="n"/>
      <c r="AI178" s="61" t="n"/>
      <c r="AJ178" s="63">
        <f>IF($A178="","",IF(AF178="","Not Enrolled",IF(TODAY()&gt;AF178,"Review Overdue",IF(AF178-TODAY()&lt;=30,"Review Due Soon","Active"))))</f>
        <v/>
      </c>
      <c r="AK178" s="63">
        <f>IF($A178="","",IF(AG178="","NOT REVIEWED",IF(TODAY()-AG178&gt;90,"OVERDUE",IF(TODAY()-AG178&gt;76,"Due Soon","Current"))))</f>
        <v/>
      </c>
    </row>
    <row r="179" ht="15" customHeight="1" s="39">
      <c r="A179" s="60" t="n"/>
      <c r="B179" s="60" t="n"/>
      <c r="C179" s="61" t="n"/>
      <c r="D179" s="61" t="n"/>
      <c r="E179" s="60" t="n"/>
      <c r="F179" s="60" t="n"/>
      <c r="G179" s="62" t="n"/>
      <c r="H179" s="62" t="n"/>
      <c r="I179" s="62" t="n"/>
      <c r="J179" s="60" t="n"/>
      <c r="K179" s="60" t="n"/>
      <c r="L179" s="60" t="n"/>
      <c r="M179" s="61" t="n"/>
      <c r="N179" s="60" t="n"/>
      <c r="O179" s="60" t="n"/>
      <c r="P179" s="60" t="n"/>
      <c r="Q179" s="60" t="n"/>
      <c r="R179" s="60" t="n"/>
      <c r="S179" s="60" t="n"/>
      <c r="T179" s="60" t="n"/>
      <c r="U179" s="60" t="n"/>
      <c r="V179" s="60" t="n"/>
      <c r="W179" s="60" t="n"/>
      <c r="X179" s="60" t="n"/>
      <c r="Y179" s="63">
        <f>IF($H179="","",TODAY()-$H179)</f>
        <v/>
      </c>
      <c r="Z179" s="63">
        <f>IF($A179="","",IF(AND($F179="Yes",OR($U179="No",$U179="NOT FOUND")),"YES",""))</f>
        <v/>
      </c>
      <c r="AA179" s="66">
        <f>IF($A179="","",TRIM(IF(AND($P179=0,$L179&lt;&gt;"Yes"),"T0-NoSmartcard ","")&amp;IF(AND($J179&lt;&gt;"",$J179&gt;365),"StalePwd ","")&amp;IF($K179="Yes","PwdNeverExpires ","")&amp;IF(AND($S179&lt;&gt;"",$S179&lt;&gt;"None"),"Delegation ","")&amp;IF(AND($Q179=1,$O179="None"),"StaleAdminCount ","")&amp;IF(AND($F179="Yes",$H179=""),"NeverLoggedOn ","")))</f>
        <v/>
      </c>
      <c r="AB179" s="60" t="n"/>
      <c r="AC179" s="61" t="n"/>
      <c r="AD179" s="60" t="n"/>
      <c r="AE179" s="62" t="n"/>
      <c r="AF179" s="62" t="n"/>
      <c r="AG179" s="62" t="n"/>
      <c r="AH179" s="60" t="n"/>
      <c r="AI179" s="61" t="n"/>
      <c r="AJ179" s="63">
        <f>IF($A179="","",IF(AF179="","Not Enrolled",IF(TODAY()&gt;AF179,"Review Overdue",IF(AF179-TODAY()&lt;=30,"Review Due Soon","Active"))))</f>
        <v/>
      </c>
      <c r="AK179" s="63">
        <f>IF($A179="","",IF(AG179="","NOT REVIEWED",IF(TODAY()-AG179&gt;90,"OVERDUE",IF(TODAY()-AG179&gt;76,"Due Soon","Current"))))</f>
        <v/>
      </c>
    </row>
    <row r="180" ht="15" customHeight="1" s="39">
      <c r="A180" s="60" t="n"/>
      <c r="B180" s="60" t="n"/>
      <c r="C180" s="61" t="n"/>
      <c r="D180" s="61" t="n"/>
      <c r="E180" s="60" t="n"/>
      <c r="F180" s="60" t="n"/>
      <c r="G180" s="62" t="n"/>
      <c r="H180" s="62" t="n"/>
      <c r="I180" s="62" t="n"/>
      <c r="J180" s="60" t="n"/>
      <c r="K180" s="60" t="n"/>
      <c r="L180" s="60" t="n"/>
      <c r="M180" s="61" t="n"/>
      <c r="N180" s="60" t="n"/>
      <c r="O180" s="60" t="n"/>
      <c r="P180" s="60" t="n"/>
      <c r="Q180" s="60" t="n"/>
      <c r="R180" s="60" t="n"/>
      <c r="S180" s="60" t="n"/>
      <c r="T180" s="60" t="n"/>
      <c r="U180" s="60" t="n"/>
      <c r="V180" s="60" t="n"/>
      <c r="W180" s="60" t="n"/>
      <c r="X180" s="60" t="n"/>
      <c r="Y180" s="63">
        <f>IF($H180="","",TODAY()-$H180)</f>
        <v/>
      </c>
      <c r="Z180" s="63">
        <f>IF($A180="","",IF(AND($F180="Yes",OR($U180="No",$U180="NOT FOUND")),"YES",""))</f>
        <v/>
      </c>
      <c r="AA180" s="66">
        <f>IF($A180="","",TRIM(IF(AND($P180=0,$L180&lt;&gt;"Yes"),"T0-NoSmartcard ","")&amp;IF(AND($J180&lt;&gt;"",$J180&gt;365),"StalePwd ","")&amp;IF($K180="Yes","PwdNeverExpires ","")&amp;IF(AND($S180&lt;&gt;"",$S180&lt;&gt;"None"),"Delegation ","")&amp;IF(AND($Q180=1,$O180="None"),"StaleAdminCount ","")&amp;IF(AND($F180="Yes",$H180=""),"NeverLoggedOn ","")))</f>
        <v/>
      </c>
      <c r="AB180" s="60" t="n"/>
      <c r="AC180" s="61" t="n"/>
      <c r="AD180" s="60" t="n"/>
      <c r="AE180" s="62" t="n"/>
      <c r="AF180" s="62" t="n"/>
      <c r="AG180" s="62" t="n"/>
      <c r="AH180" s="60" t="n"/>
      <c r="AI180" s="61" t="n"/>
      <c r="AJ180" s="63">
        <f>IF($A180="","",IF(AF180="","Not Enrolled",IF(TODAY()&gt;AF180,"Review Overdue",IF(AF180-TODAY()&lt;=30,"Review Due Soon","Active"))))</f>
        <v/>
      </c>
      <c r="AK180" s="63">
        <f>IF($A180="","",IF(AG180="","NOT REVIEWED",IF(TODAY()-AG180&gt;90,"OVERDUE",IF(TODAY()-AG180&gt;76,"Due Soon","Current"))))</f>
        <v/>
      </c>
    </row>
    <row r="181" ht="15" customHeight="1" s="39">
      <c r="A181" s="60" t="n"/>
      <c r="B181" s="60" t="n"/>
      <c r="C181" s="61" t="n"/>
      <c r="D181" s="61" t="n"/>
      <c r="E181" s="60" t="n"/>
      <c r="F181" s="60" t="n"/>
      <c r="G181" s="62" t="n"/>
      <c r="H181" s="62" t="n"/>
      <c r="I181" s="62" t="n"/>
      <c r="J181" s="60" t="n"/>
      <c r="K181" s="60" t="n"/>
      <c r="L181" s="60" t="n"/>
      <c r="M181" s="61" t="n"/>
      <c r="N181" s="60" t="n"/>
      <c r="O181" s="60" t="n"/>
      <c r="P181" s="60" t="n"/>
      <c r="Q181" s="60" t="n"/>
      <c r="R181" s="60" t="n"/>
      <c r="S181" s="60" t="n"/>
      <c r="T181" s="60" t="n"/>
      <c r="U181" s="60" t="n"/>
      <c r="V181" s="60" t="n"/>
      <c r="W181" s="60" t="n"/>
      <c r="X181" s="60" t="n"/>
      <c r="Y181" s="63">
        <f>IF($H181="","",TODAY()-$H181)</f>
        <v/>
      </c>
      <c r="Z181" s="63">
        <f>IF($A181="","",IF(AND($F181="Yes",OR($U181="No",$U181="NOT FOUND")),"YES",""))</f>
        <v/>
      </c>
      <c r="AA181" s="66">
        <f>IF($A181="","",TRIM(IF(AND($P181=0,$L181&lt;&gt;"Yes"),"T0-NoSmartcard ","")&amp;IF(AND($J181&lt;&gt;"",$J181&gt;365),"StalePwd ","")&amp;IF($K181="Yes","PwdNeverExpires ","")&amp;IF(AND($S181&lt;&gt;"",$S181&lt;&gt;"None"),"Delegation ","")&amp;IF(AND($Q181=1,$O181="None"),"StaleAdminCount ","")&amp;IF(AND($F181="Yes",$H181=""),"NeverLoggedOn ","")))</f>
        <v/>
      </c>
      <c r="AB181" s="60" t="n"/>
      <c r="AC181" s="61" t="n"/>
      <c r="AD181" s="60" t="n"/>
      <c r="AE181" s="62" t="n"/>
      <c r="AF181" s="62" t="n"/>
      <c r="AG181" s="62" t="n"/>
      <c r="AH181" s="60" t="n"/>
      <c r="AI181" s="61" t="n"/>
      <c r="AJ181" s="63">
        <f>IF($A181="","",IF(AF181="","Not Enrolled",IF(TODAY()&gt;AF181,"Review Overdue",IF(AF181-TODAY()&lt;=30,"Review Due Soon","Active"))))</f>
        <v/>
      </c>
      <c r="AK181" s="63">
        <f>IF($A181="","",IF(AG181="","NOT REVIEWED",IF(TODAY()-AG181&gt;90,"OVERDUE",IF(TODAY()-AG181&gt;76,"Due Soon","Current"))))</f>
        <v/>
      </c>
    </row>
    <row r="182" ht="15" customHeight="1" s="39">
      <c r="A182" s="60" t="n"/>
      <c r="B182" s="60" t="n"/>
      <c r="C182" s="61" t="n"/>
      <c r="D182" s="61" t="n"/>
      <c r="E182" s="60" t="n"/>
      <c r="F182" s="60" t="n"/>
      <c r="G182" s="62" t="n"/>
      <c r="H182" s="62" t="n"/>
      <c r="I182" s="62" t="n"/>
      <c r="J182" s="60" t="n"/>
      <c r="K182" s="60" t="n"/>
      <c r="L182" s="60" t="n"/>
      <c r="M182" s="61" t="n"/>
      <c r="N182" s="60" t="n"/>
      <c r="O182" s="60" t="n"/>
      <c r="P182" s="60" t="n"/>
      <c r="Q182" s="60" t="n"/>
      <c r="R182" s="60" t="n"/>
      <c r="S182" s="60" t="n"/>
      <c r="T182" s="60" t="n"/>
      <c r="U182" s="60" t="n"/>
      <c r="V182" s="60" t="n"/>
      <c r="W182" s="60" t="n"/>
      <c r="X182" s="60" t="n"/>
      <c r="Y182" s="63">
        <f>IF($H182="","",TODAY()-$H182)</f>
        <v/>
      </c>
      <c r="Z182" s="63">
        <f>IF($A182="","",IF(AND($F182="Yes",OR($U182="No",$U182="NOT FOUND")),"YES",""))</f>
        <v/>
      </c>
      <c r="AA182" s="66">
        <f>IF($A182="","",TRIM(IF(AND($P182=0,$L182&lt;&gt;"Yes"),"T0-NoSmartcard ","")&amp;IF(AND($J182&lt;&gt;"",$J182&gt;365),"StalePwd ","")&amp;IF($K182="Yes","PwdNeverExpires ","")&amp;IF(AND($S182&lt;&gt;"",$S182&lt;&gt;"None"),"Delegation ","")&amp;IF(AND($Q182=1,$O182="None"),"StaleAdminCount ","")&amp;IF(AND($F182="Yes",$H182=""),"NeverLoggedOn ","")))</f>
        <v/>
      </c>
      <c r="AB182" s="60" t="n"/>
      <c r="AC182" s="61" t="n"/>
      <c r="AD182" s="60" t="n"/>
      <c r="AE182" s="62" t="n"/>
      <c r="AF182" s="62" t="n"/>
      <c r="AG182" s="62" t="n"/>
      <c r="AH182" s="60" t="n"/>
      <c r="AI182" s="61" t="n"/>
      <c r="AJ182" s="63">
        <f>IF($A182="","",IF(AF182="","Not Enrolled",IF(TODAY()&gt;AF182,"Review Overdue",IF(AF182-TODAY()&lt;=30,"Review Due Soon","Active"))))</f>
        <v/>
      </c>
      <c r="AK182" s="63">
        <f>IF($A182="","",IF(AG182="","NOT REVIEWED",IF(TODAY()-AG182&gt;90,"OVERDUE",IF(TODAY()-AG182&gt;76,"Due Soon","Current"))))</f>
        <v/>
      </c>
    </row>
    <row r="183" ht="15" customHeight="1" s="39">
      <c r="A183" s="60" t="n"/>
      <c r="B183" s="60" t="n"/>
      <c r="C183" s="61" t="n"/>
      <c r="D183" s="61" t="n"/>
      <c r="E183" s="60" t="n"/>
      <c r="F183" s="60" t="n"/>
      <c r="G183" s="62" t="n"/>
      <c r="H183" s="62" t="n"/>
      <c r="I183" s="62" t="n"/>
      <c r="J183" s="60" t="n"/>
      <c r="K183" s="60" t="n"/>
      <c r="L183" s="60" t="n"/>
      <c r="M183" s="61" t="n"/>
      <c r="N183" s="60" t="n"/>
      <c r="O183" s="60" t="n"/>
      <c r="P183" s="60" t="n"/>
      <c r="Q183" s="60" t="n"/>
      <c r="R183" s="60" t="n"/>
      <c r="S183" s="60" t="n"/>
      <c r="T183" s="60" t="n"/>
      <c r="U183" s="60" t="n"/>
      <c r="V183" s="60" t="n"/>
      <c r="W183" s="60" t="n"/>
      <c r="X183" s="60" t="n"/>
      <c r="Y183" s="63">
        <f>IF($H183="","",TODAY()-$H183)</f>
        <v/>
      </c>
      <c r="Z183" s="63">
        <f>IF($A183="","",IF(AND($F183="Yes",OR($U183="No",$U183="NOT FOUND")),"YES",""))</f>
        <v/>
      </c>
      <c r="AA183" s="66">
        <f>IF($A183="","",TRIM(IF(AND($P183=0,$L183&lt;&gt;"Yes"),"T0-NoSmartcard ","")&amp;IF(AND($J183&lt;&gt;"",$J183&gt;365),"StalePwd ","")&amp;IF($K183="Yes","PwdNeverExpires ","")&amp;IF(AND($S183&lt;&gt;"",$S183&lt;&gt;"None"),"Delegation ","")&amp;IF(AND($Q183=1,$O183="None"),"StaleAdminCount ","")&amp;IF(AND($F183="Yes",$H183=""),"NeverLoggedOn ","")))</f>
        <v/>
      </c>
      <c r="AB183" s="60" t="n"/>
      <c r="AC183" s="61" t="n"/>
      <c r="AD183" s="60" t="n"/>
      <c r="AE183" s="62" t="n"/>
      <c r="AF183" s="62" t="n"/>
      <c r="AG183" s="62" t="n"/>
      <c r="AH183" s="60" t="n"/>
      <c r="AI183" s="61" t="n"/>
      <c r="AJ183" s="63">
        <f>IF($A183="","",IF(AF183="","Not Enrolled",IF(TODAY()&gt;AF183,"Review Overdue",IF(AF183-TODAY()&lt;=30,"Review Due Soon","Active"))))</f>
        <v/>
      </c>
      <c r="AK183" s="63">
        <f>IF($A183="","",IF(AG183="","NOT REVIEWED",IF(TODAY()-AG183&gt;90,"OVERDUE",IF(TODAY()-AG183&gt;76,"Due Soon","Current"))))</f>
        <v/>
      </c>
    </row>
    <row r="184" ht="15" customHeight="1" s="39">
      <c r="A184" s="60" t="n"/>
      <c r="B184" s="60" t="n"/>
      <c r="C184" s="61" t="n"/>
      <c r="D184" s="61" t="n"/>
      <c r="E184" s="60" t="n"/>
      <c r="F184" s="60" t="n"/>
      <c r="G184" s="62" t="n"/>
      <c r="H184" s="62" t="n"/>
      <c r="I184" s="62" t="n"/>
      <c r="J184" s="60" t="n"/>
      <c r="K184" s="60" t="n"/>
      <c r="L184" s="60" t="n"/>
      <c r="M184" s="61" t="n"/>
      <c r="N184" s="60" t="n"/>
      <c r="O184" s="60" t="n"/>
      <c r="P184" s="60" t="n"/>
      <c r="Q184" s="60" t="n"/>
      <c r="R184" s="60" t="n"/>
      <c r="S184" s="60" t="n"/>
      <c r="T184" s="60" t="n"/>
      <c r="U184" s="60" t="n"/>
      <c r="V184" s="60" t="n"/>
      <c r="W184" s="60" t="n"/>
      <c r="X184" s="60" t="n"/>
      <c r="Y184" s="63">
        <f>IF($H184="","",TODAY()-$H184)</f>
        <v/>
      </c>
      <c r="Z184" s="63">
        <f>IF($A184="","",IF(AND($F184="Yes",OR($U184="No",$U184="NOT FOUND")),"YES",""))</f>
        <v/>
      </c>
      <c r="AA184" s="66">
        <f>IF($A184="","",TRIM(IF(AND($P184=0,$L184&lt;&gt;"Yes"),"T0-NoSmartcard ","")&amp;IF(AND($J184&lt;&gt;"",$J184&gt;365),"StalePwd ","")&amp;IF($K184="Yes","PwdNeverExpires ","")&amp;IF(AND($S184&lt;&gt;"",$S184&lt;&gt;"None"),"Delegation ","")&amp;IF(AND($Q184=1,$O184="None"),"StaleAdminCount ","")&amp;IF(AND($F184="Yes",$H184=""),"NeverLoggedOn ","")))</f>
        <v/>
      </c>
      <c r="AB184" s="60" t="n"/>
      <c r="AC184" s="61" t="n"/>
      <c r="AD184" s="60" t="n"/>
      <c r="AE184" s="62" t="n"/>
      <c r="AF184" s="62" t="n"/>
      <c r="AG184" s="62" t="n"/>
      <c r="AH184" s="60" t="n"/>
      <c r="AI184" s="61" t="n"/>
      <c r="AJ184" s="63">
        <f>IF($A184="","",IF(AF184="","Not Enrolled",IF(TODAY()&gt;AF184,"Review Overdue",IF(AF184-TODAY()&lt;=30,"Review Due Soon","Active"))))</f>
        <v/>
      </c>
      <c r="AK184" s="63">
        <f>IF($A184="","",IF(AG184="","NOT REVIEWED",IF(TODAY()-AG184&gt;90,"OVERDUE",IF(TODAY()-AG184&gt;76,"Due Soon","Current"))))</f>
        <v/>
      </c>
    </row>
    <row r="185" ht="15" customHeight="1" s="39">
      <c r="A185" s="60" t="n"/>
      <c r="B185" s="60" t="n"/>
      <c r="C185" s="61" t="n"/>
      <c r="D185" s="61" t="n"/>
      <c r="E185" s="60" t="n"/>
      <c r="F185" s="60" t="n"/>
      <c r="G185" s="62" t="n"/>
      <c r="H185" s="62" t="n"/>
      <c r="I185" s="62" t="n"/>
      <c r="J185" s="60" t="n"/>
      <c r="K185" s="60" t="n"/>
      <c r="L185" s="60" t="n"/>
      <c r="M185" s="61" t="n"/>
      <c r="N185" s="60" t="n"/>
      <c r="O185" s="60" t="n"/>
      <c r="P185" s="60" t="n"/>
      <c r="Q185" s="60" t="n"/>
      <c r="R185" s="60" t="n"/>
      <c r="S185" s="60" t="n"/>
      <c r="T185" s="60" t="n"/>
      <c r="U185" s="60" t="n"/>
      <c r="V185" s="60" t="n"/>
      <c r="W185" s="60" t="n"/>
      <c r="X185" s="60" t="n"/>
      <c r="Y185" s="63">
        <f>IF($H185="","",TODAY()-$H185)</f>
        <v/>
      </c>
      <c r="Z185" s="63">
        <f>IF($A185="","",IF(AND($F185="Yes",OR($U185="No",$U185="NOT FOUND")),"YES",""))</f>
        <v/>
      </c>
      <c r="AA185" s="66">
        <f>IF($A185="","",TRIM(IF(AND($P185=0,$L185&lt;&gt;"Yes"),"T0-NoSmartcard ","")&amp;IF(AND($J185&lt;&gt;"",$J185&gt;365),"StalePwd ","")&amp;IF($K185="Yes","PwdNeverExpires ","")&amp;IF(AND($S185&lt;&gt;"",$S185&lt;&gt;"None"),"Delegation ","")&amp;IF(AND($Q185=1,$O185="None"),"StaleAdminCount ","")&amp;IF(AND($F185="Yes",$H185=""),"NeverLoggedOn ","")))</f>
        <v/>
      </c>
      <c r="AB185" s="60" t="n"/>
      <c r="AC185" s="61" t="n"/>
      <c r="AD185" s="60" t="n"/>
      <c r="AE185" s="62" t="n"/>
      <c r="AF185" s="62" t="n"/>
      <c r="AG185" s="62" t="n"/>
      <c r="AH185" s="60" t="n"/>
      <c r="AI185" s="61" t="n"/>
      <c r="AJ185" s="63">
        <f>IF($A185="","",IF(AF185="","Not Enrolled",IF(TODAY()&gt;AF185,"Review Overdue",IF(AF185-TODAY()&lt;=30,"Review Due Soon","Active"))))</f>
        <v/>
      </c>
      <c r="AK185" s="63">
        <f>IF($A185="","",IF(AG185="","NOT REVIEWED",IF(TODAY()-AG185&gt;90,"OVERDUE",IF(TODAY()-AG185&gt;76,"Due Soon","Current"))))</f>
        <v/>
      </c>
    </row>
    <row r="186" ht="15" customHeight="1" s="39">
      <c r="A186" s="60" t="n"/>
      <c r="B186" s="60" t="n"/>
      <c r="C186" s="61" t="n"/>
      <c r="D186" s="61" t="n"/>
      <c r="E186" s="60" t="n"/>
      <c r="F186" s="60" t="n"/>
      <c r="G186" s="62" t="n"/>
      <c r="H186" s="62" t="n"/>
      <c r="I186" s="62" t="n"/>
      <c r="J186" s="60" t="n"/>
      <c r="K186" s="60" t="n"/>
      <c r="L186" s="60" t="n"/>
      <c r="M186" s="61" t="n"/>
      <c r="N186" s="60" t="n"/>
      <c r="O186" s="60" t="n"/>
      <c r="P186" s="60" t="n"/>
      <c r="Q186" s="60" t="n"/>
      <c r="R186" s="60" t="n"/>
      <c r="S186" s="60" t="n"/>
      <c r="T186" s="60" t="n"/>
      <c r="U186" s="60" t="n"/>
      <c r="V186" s="60" t="n"/>
      <c r="W186" s="60" t="n"/>
      <c r="X186" s="60" t="n"/>
      <c r="Y186" s="63">
        <f>IF($H186="","",TODAY()-$H186)</f>
        <v/>
      </c>
      <c r="Z186" s="63">
        <f>IF($A186="","",IF(AND($F186="Yes",OR($U186="No",$U186="NOT FOUND")),"YES",""))</f>
        <v/>
      </c>
      <c r="AA186" s="66">
        <f>IF($A186="","",TRIM(IF(AND($P186=0,$L186&lt;&gt;"Yes"),"T0-NoSmartcard ","")&amp;IF(AND($J186&lt;&gt;"",$J186&gt;365),"StalePwd ","")&amp;IF($K186="Yes","PwdNeverExpires ","")&amp;IF(AND($S186&lt;&gt;"",$S186&lt;&gt;"None"),"Delegation ","")&amp;IF(AND($Q186=1,$O186="None"),"StaleAdminCount ","")&amp;IF(AND($F186="Yes",$H186=""),"NeverLoggedOn ","")))</f>
        <v/>
      </c>
      <c r="AB186" s="60" t="n"/>
      <c r="AC186" s="61" t="n"/>
      <c r="AD186" s="60" t="n"/>
      <c r="AE186" s="62" t="n"/>
      <c r="AF186" s="62" t="n"/>
      <c r="AG186" s="62" t="n"/>
      <c r="AH186" s="60" t="n"/>
      <c r="AI186" s="61" t="n"/>
      <c r="AJ186" s="63">
        <f>IF($A186="","",IF(AF186="","Not Enrolled",IF(TODAY()&gt;AF186,"Review Overdue",IF(AF186-TODAY()&lt;=30,"Review Due Soon","Active"))))</f>
        <v/>
      </c>
      <c r="AK186" s="63">
        <f>IF($A186="","",IF(AG186="","NOT REVIEWED",IF(TODAY()-AG186&gt;90,"OVERDUE",IF(TODAY()-AG186&gt;76,"Due Soon","Current"))))</f>
        <v/>
      </c>
    </row>
    <row r="187" ht="15" customHeight="1" s="39">
      <c r="A187" s="60" t="n"/>
      <c r="B187" s="60" t="n"/>
      <c r="C187" s="61" t="n"/>
      <c r="D187" s="61" t="n"/>
      <c r="E187" s="60" t="n"/>
      <c r="F187" s="60" t="n"/>
      <c r="G187" s="62" t="n"/>
      <c r="H187" s="62" t="n"/>
      <c r="I187" s="62" t="n"/>
      <c r="J187" s="60" t="n"/>
      <c r="K187" s="60" t="n"/>
      <c r="L187" s="60" t="n"/>
      <c r="M187" s="61" t="n"/>
      <c r="N187" s="60" t="n"/>
      <c r="O187" s="60" t="n"/>
      <c r="P187" s="60" t="n"/>
      <c r="Q187" s="60" t="n"/>
      <c r="R187" s="60" t="n"/>
      <c r="S187" s="60" t="n"/>
      <c r="T187" s="60" t="n"/>
      <c r="U187" s="60" t="n"/>
      <c r="V187" s="60" t="n"/>
      <c r="W187" s="60" t="n"/>
      <c r="X187" s="60" t="n"/>
      <c r="Y187" s="63">
        <f>IF($H187="","",TODAY()-$H187)</f>
        <v/>
      </c>
      <c r="Z187" s="63">
        <f>IF($A187="","",IF(AND($F187="Yes",OR($U187="No",$U187="NOT FOUND")),"YES",""))</f>
        <v/>
      </c>
      <c r="AA187" s="66">
        <f>IF($A187="","",TRIM(IF(AND($P187=0,$L187&lt;&gt;"Yes"),"T0-NoSmartcard ","")&amp;IF(AND($J187&lt;&gt;"",$J187&gt;365),"StalePwd ","")&amp;IF($K187="Yes","PwdNeverExpires ","")&amp;IF(AND($S187&lt;&gt;"",$S187&lt;&gt;"None"),"Delegation ","")&amp;IF(AND($Q187=1,$O187="None"),"StaleAdminCount ","")&amp;IF(AND($F187="Yes",$H187=""),"NeverLoggedOn ","")))</f>
        <v/>
      </c>
      <c r="AB187" s="60" t="n"/>
      <c r="AC187" s="61" t="n"/>
      <c r="AD187" s="60" t="n"/>
      <c r="AE187" s="62" t="n"/>
      <c r="AF187" s="62" t="n"/>
      <c r="AG187" s="62" t="n"/>
      <c r="AH187" s="60" t="n"/>
      <c r="AI187" s="61" t="n"/>
      <c r="AJ187" s="63">
        <f>IF($A187="","",IF(AF187="","Not Enrolled",IF(TODAY()&gt;AF187,"Review Overdue",IF(AF187-TODAY()&lt;=30,"Review Due Soon","Active"))))</f>
        <v/>
      </c>
      <c r="AK187" s="63">
        <f>IF($A187="","",IF(AG187="","NOT REVIEWED",IF(TODAY()-AG187&gt;90,"OVERDUE",IF(TODAY()-AG187&gt;76,"Due Soon","Current"))))</f>
        <v/>
      </c>
    </row>
    <row r="188" ht="15" customHeight="1" s="39">
      <c r="A188" s="60" t="n"/>
      <c r="B188" s="60" t="n"/>
      <c r="C188" s="61" t="n"/>
      <c r="D188" s="61" t="n"/>
      <c r="E188" s="60" t="n"/>
      <c r="F188" s="60" t="n"/>
      <c r="G188" s="62" t="n"/>
      <c r="H188" s="62" t="n"/>
      <c r="I188" s="62" t="n"/>
      <c r="J188" s="60" t="n"/>
      <c r="K188" s="60" t="n"/>
      <c r="L188" s="60" t="n"/>
      <c r="M188" s="61" t="n"/>
      <c r="N188" s="60" t="n"/>
      <c r="O188" s="60" t="n"/>
      <c r="P188" s="60" t="n"/>
      <c r="Q188" s="60" t="n"/>
      <c r="R188" s="60" t="n"/>
      <c r="S188" s="60" t="n"/>
      <c r="T188" s="60" t="n"/>
      <c r="U188" s="60" t="n"/>
      <c r="V188" s="60" t="n"/>
      <c r="W188" s="60" t="n"/>
      <c r="X188" s="60" t="n"/>
      <c r="Y188" s="63">
        <f>IF($H188="","",TODAY()-$H188)</f>
        <v/>
      </c>
      <c r="Z188" s="63">
        <f>IF($A188="","",IF(AND($F188="Yes",OR($U188="No",$U188="NOT FOUND")),"YES",""))</f>
        <v/>
      </c>
      <c r="AA188" s="66">
        <f>IF($A188="","",TRIM(IF(AND($P188=0,$L188&lt;&gt;"Yes"),"T0-NoSmartcard ","")&amp;IF(AND($J188&lt;&gt;"",$J188&gt;365),"StalePwd ","")&amp;IF($K188="Yes","PwdNeverExpires ","")&amp;IF(AND($S188&lt;&gt;"",$S188&lt;&gt;"None"),"Delegation ","")&amp;IF(AND($Q188=1,$O188="None"),"StaleAdminCount ","")&amp;IF(AND($F188="Yes",$H188=""),"NeverLoggedOn ","")))</f>
        <v/>
      </c>
      <c r="AB188" s="60" t="n"/>
      <c r="AC188" s="61" t="n"/>
      <c r="AD188" s="60" t="n"/>
      <c r="AE188" s="62" t="n"/>
      <c r="AF188" s="62" t="n"/>
      <c r="AG188" s="62" t="n"/>
      <c r="AH188" s="60" t="n"/>
      <c r="AI188" s="61" t="n"/>
      <c r="AJ188" s="63">
        <f>IF($A188="","",IF(AF188="","Not Enrolled",IF(TODAY()&gt;AF188,"Review Overdue",IF(AF188-TODAY()&lt;=30,"Review Due Soon","Active"))))</f>
        <v/>
      </c>
      <c r="AK188" s="63">
        <f>IF($A188="","",IF(AG188="","NOT REVIEWED",IF(TODAY()-AG188&gt;90,"OVERDUE",IF(TODAY()-AG188&gt;76,"Due Soon","Current"))))</f>
        <v/>
      </c>
    </row>
    <row r="189" ht="15" customHeight="1" s="39">
      <c r="A189" s="60" t="n"/>
      <c r="B189" s="60" t="n"/>
      <c r="C189" s="61" t="n"/>
      <c r="D189" s="61" t="n"/>
      <c r="E189" s="60" t="n"/>
      <c r="F189" s="60" t="n"/>
      <c r="G189" s="62" t="n"/>
      <c r="H189" s="62" t="n"/>
      <c r="I189" s="62" t="n"/>
      <c r="J189" s="60" t="n"/>
      <c r="K189" s="60" t="n"/>
      <c r="L189" s="60" t="n"/>
      <c r="M189" s="61" t="n"/>
      <c r="N189" s="60" t="n"/>
      <c r="O189" s="60" t="n"/>
      <c r="P189" s="60" t="n"/>
      <c r="Q189" s="60" t="n"/>
      <c r="R189" s="60" t="n"/>
      <c r="S189" s="60" t="n"/>
      <c r="T189" s="60" t="n"/>
      <c r="U189" s="60" t="n"/>
      <c r="V189" s="60" t="n"/>
      <c r="W189" s="60" t="n"/>
      <c r="X189" s="60" t="n"/>
      <c r="Y189" s="63">
        <f>IF($H189="","",TODAY()-$H189)</f>
        <v/>
      </c>
      <c r="Z189" s="63">
        <f>IF($A189="","",IF(AND($F189="Yes",OR($U189="No",$U189="NOT FOUND")),"YES",""))</f>
        <v/>
      </c>
      <c r="AA189" s="66">
        <f>IF($A189="","",TRIM(IF(AND($P189=0,$L189&lt;&gt;"Yes"),"T0-NoSmartcard ","")&amp;IF(AND($J189&lt;&gt;"",$J189&gt;365),"StalePwd ","")&amp;IF($K189="Yes","PwdNeverExpires ","")&amp;IF(AND($S189&lt;&gt;"",$S189&lt;&gt;"None"),"Delegation ","")&amp;IF(AND($Q189=1,$O189="None"),"StaleAdminCount ","")&amp;IF(AND($F189="Yes",$H189=""),"NeverLoggedOn ","")))</f>
        <v/>
      </c>
      <c r="AB189" s="60" t="n"/>
      <c r="AC189" s="61" t="n"/>
      <c r="AD189" s="60" t="n"/>
      <c r="AE189" s="62" t="n"/>
      <c r="AF189" s="62" t="n"/>
      <c r="AG189" s="62" t="n"/>
      <c r="AH189" s="60" t="n"/>
      <c r="AI189" s="61" t="n"/>
      <c r="AJ189" s="63">
        <f>IF($A189="","",IF(AF189="","Not Enrolled",IF(TODAY()&gt;AF189,"Review Overdue",IF(AF189-TODAY()&lt;=30,"Review Due Soon","Active"))))</f>
        <v/>
      </c>
      <c r="AK189" s="63">
        <f>IF($A189="","",IF(AG189="","NOT REVIEWED",IF(TODAY()-AG189&gt;90,"OVERDUE",IF(TODAY()-AG189&gt;76,"Due Soon","Current"))))</f>
        <v/>
      </c>
    </row>
    <row r="190" ht="15" customHeight="1" s="39">
      <c r="A190" s="60" t="n"/>
      <c r="B190" s="60" t="n"/>
      <c r="C190" s="61" t="n"/>
      <c r="D190" s="61" t="n"/>
      <c r="E190" s="60" t="n"/>
      <c r="F190" s="60" t="n"/>
      <c r="G190" s="62" t="n"/>
      <c r="H190" s="62" t="n"/>
      <c r="I190" s="62" t="n"/>
      <c r="J190" s="60" t="n"/>
      <c r="K190" s="60" t="n"/>
      <c r="L190" s="60" t="n"/>
      <c r="M190" s="61" t="n"/>
      <c r="N190" s="60" t="n"/>
      <c r="O190" s="60" t="n"/>
      <c r="P190" s="60" t="n"/>
      <c r="Q190" s="60" t="n"/>
      <c r="R190" s="60" t="n"/>
      <c r="S190" s="60" t="n"/>
      <c r="T190" s="60" t="n"/>
      <c r="U190" s="60" t="n"/>
      <c r="V190" s="60" t="n"/>
      <c r="W190" s="60" t="n"/>
      <c r="X190" s="60" t="n"/>
      <c r="Y190" s="63">
        <f>IF($H190="","",TODAY()-$H190)</f>
        <v/>
      </c>
      <c r="Z190" s="63">
        <f>IF($A190="","",IF(AND($F190="Yes",OR($U190="No",$U190="NOT FOUND")),"YES",""))</f>
        <v/>
      </c>
      <c r="AA190" s="66">
        <f>IF($A190="","",TRIM(IF(AND($P190=0,$L190&lt;&gt;"Yes"),"T0-NoSmartcard ","")&amp;IF(AND($J190&lt;&gt;"",$J190&gt;365),"StalePwd ","")&amp;IF($K190="Yes","PwdNeverExpires ","")&amp;IF(AND($S190&lt;&gt;"",$S190&lt;&gt;"None"),"Delegation ","")&amp;IF(AND($Q190=1,$O190="None"),"StaleAdminCount ","")&amp;IF(AND($F190="Yes",$H190=""),"NeverLoggedOn ","")))</f>
        <v/>
      </c>
      <c r="AB190" s="60" t="n"/>
      <c r="AC190" s="61" t="n"/>
      <c r="AD190" s="60" t="n"/>
      <c r="AE190" s="62" t="n"/>
      <c r="AF190" s="62" t="n"/>
      <c r="AG190" s="62" t="n"/>
      <c r="AH190" s="60" t="n"/>
      <c r="AI190" s="61" t="n"/>
      <c r="AJ190" s="63">
        <f>IF($A190="","",IF(AF190="","Not Enrolled",IF(TODAY()&gt;AF190,"Review Overdue",IF(AF190-TODAY()&lt;=30,"Review Due Soon","Active"))))</f>
        <v/>
      </c>
      <c r="AK190" s="63">
        <f>IF($A190="","",IF(AG190="","NOT REVIEWED",IF(TODAY()-AG190&gt;90,"OVERDUE",IF(TODAY()-AG190&gt;76,"Due Soon","Current"))))</f>
        <v/>
      </c>
    </row>
    <row r="191" ht="15" customHeight="1" s="39">
      <c r="A191" s="60" t="n"/>
      <c r="B191" s="60" t="n"/>
      <c r="C191" s="61" t="n"/>
      <c r="D191" s="61" t="n"/>
      <c r="E191" s="60" t="n"/>
      <c r="F191" s="60" t="n"/>
      <c r="G191" s="62" t="n"/>
      <c r="H191" s="62" t="n"/>
      <c r="I191" s="62" t="n"/>
      <c r="J191" s="60" t="n"/>
      <c r="K191" s="60" t="n"/>
      <c r="L191" s="60" t="n"/>
      <c r="M191" s="61" t="n"/>
      <c r="N191" s="60" t="n"/>
      <c r="O191" s="60" t="n"/>
      <c r="P191" s="60" t="n"/>
      <c r="Q191" s="60" t="n"/>
      <c r="R191" s="60" t="n"/>
      <c r="S191" s="60" t="n"/>
      <c r="T191" s="60" t="n"/>
      <c r="U191" s="60" t="n"/>
      <c r="V191" s="60" t="n"/>
      <c r="W191" s="60" t="n"/>
      <c r="X191" s="60" t="n"/>
      <c r="Y191" s="63">
        <f>IF($H191="","",TODAY()-$H191)</f>
        <v/>
      </c>
      <c r="Z191" s="63">
        <f>IF($A191="","",IF(AND($F191="Yes",OR($U191="No",$U191="NOT FOUND")),"YES",""))</f>
        <v/>
      </c>
      <c r="AA191" s="66">
        <f>IF($A191="","",TRIM(IF(AND($P191=0,$L191&lt;&gt;"Yes"),"T0-NoSmartcard ","")&amp;IF(AND($J191&lt;&gt;"",$J191&gt;365),"StalePwd ","")&amp;IF($K191="Yes","PwdNeverExpires ","")&amp;IF(AND($S191&lt;&gt;"",$S191&lt;&gt;"None"),"Delegation ","")&amp;IF(AND($Q191=1,$O191="None"),"StaleAdminCount ","")&amp;IF(AND($F191="Yes",$H191=""),"NeverLoggedOn ","")))</f>
        <v/>
      </c>
      <c r="AB191" s="60" t="n"/>
      <c r="AC191" s="61" t="n"/>
      <c r="AD191" s="60" t="n"/>
      <c r="AE191" s="62" t="n"/>
      <c r="AF191" s="62" t="n"/>
      <c r="AG191" s="62" t="n"/>
      <c r="AH191" s="60" t="n"/>
      <c r="AI191" s="61" t="n"/>
      <c r="AJ191" s="63">
        <f>IF($A191="","",IF(AF191="","Not Enrolled",IF(TODAY()&gt;AF191,"Review Overdue",IF(AF191-TODAY()&lt;=30,"Review Due Soon","Active"))))</f>
        <v/>
      </c>
      <c r="AK191" s="63">
        <f>IF($A191="","",IF(AG191="","NOT REVIEWED",IF(TODAY()-AG191&gt;90,"OVERDUE",IF(TODAY()-AG191&gt;76,"Due Soon","Current"))))</f>
        <v/>
      </c>
    </row>
    <row r="192" ht="15" customHeight="1" s="39">
      <c r="A192" s="60" t="n"/>
      <c r="B192" s="60" t="n"/>
      <c r="C192" s="61" t="n"/>
      <c r="D192" s="61" t="n"/>
      <c r="E192" s="60" t="n"/>
      <c r="F192" s="60" t="n"/>
      <c r="G192" s="62" t="n"/>
      <c r="H192" s="62" t="n"/>
      <c r="I192" s="62" t="n"/>
      <c r="J192" s="60" t="n"/>
      <c r="K192" s="60" t="n"/>
      <c r="L192" s="60" t="n"/>
      <c r="M192" s="61" t="n"/>
      <c r="N192" s="60" t="n"/>
      <c r="O192" s="60" t="n"/>
      <c r="P192" s="60" t="n"/>
      <c r="Q192" s="60" t="n"/>
      <c r="R192" s="60" t="n"/>
      <c r="S192" s="60" t="n"/>
      <c r="T192" s="60" t="n"/>
      <c r="U192" s="60" t="n"/>
      <c r="V192" s="60" t="n"/>
      <c r="W192" s="60" t="n"/>
      <c r="X192" s="60" t="n"/>
      <c r="Y192" s="63">
        <f>IF($H192="","",TODAY()-$H192)</f>
        <v/>
      </c>
      <c r="Z192" s="63">
        <f>IF($A192="","",IF(AND($F192="Yes",OR($U192="No",$U192="NOT FOUND")),"YES",""))</f>
        <v/>
      </c>
      <c r="AA192" s="66">
        <f>IF($A192="","",TRIM(IF(AND($P192=0,$L192&lt;&gt;"Yes"),"T0-NoSmartcard ","")&amp;IF(AND($J192&lt;&gt;"",$J192&gt;365),"StalePwd ","")&amp;IF($K192="Yes","PwdNeverExpires ","")&amp;IF(AND($S192&lt;&gt;"",$S192&lt;&gt;"None"),"Delegation ","")&amp;IF(AND($Q192=1,$O192="None"),"StaleAdminCount ","")&amp;IF(AND($F192="Yes",$H192=""),"NeverLoggedOn ","")))</f>
        <v/>
      </c>
      <c r="AB192" s="60" t="n"/>
      <c r="AC192" s="61" t="n"/>
      <c r="AD192" s="60" t="n"/>
      <c r="AE192" s="62" t="n"/>
      <c r="AF192" s="62" t="n"/>
      <c r="AG192" s="62" t="n"/>
      <c r="AH192" s="60" t="n"/>
      <c r="AI192" s="61" t="n"/>
      <c r="AJ192" s="63">
        <f>IF($A192="","",IF(AF192="","Not Enrolled",IF(TODAY()&gt;AF192,"Review Overdue",IF(AF192-TODAY()&lt;=30,"Review Due Soon","Active"))))</f>
        <v/>
      </c>
      <c r="AK192" s="63">
        <f>IF($A192="","",IF(AG192="","NOT REVIEWED",IF(TODAY()-AG192&gt;90,"OVERDUE",IF(TODAY()-AG192&gt;76,"Due Soon","Current"))))</f>
        <v/>
      </c>
    </row>
    <row r="193" ht="15" customHeight="1" s="39">
      <c r="A193" s="60" t="n"/>
      <c r="B193" s="60" t="n"/>
      <c r="C193" s="61" t="n"/>
      <c r="D193" s="61" t="n"/>
      <c r="E193" s="60" t="n"/>
      <c r="F193" s="60" t="n"/>
      <c r="G193" s="62" t="n"/>
      <c r="H193" s="62" t="n"/>
      <c r="I193" s="62" t="n"/>
      <c r="J193" s="60" t="n"/>
      <c r="K193" s="60" t="n"/>
      <c r="L193" s="60" t="n"/>
      <c r="M193" s="61" t="n"/>
      <c r="N193" s="60" t="n"/>
      <c r="O193" s="60" t="n"/>
      <c r="P193" s="60" t="n"/>
      <c r="Q193" s="60" t="n"/>
      <c r="R193" s="60" t="n"/>
      <c r="S193" s="60" t="n"/>
      <c r="T193" s="60" t="n"/>
      <c r="U193" s="60" t="n"/>
      <c r="V193" s="60" t="n"/>
      <c r="W193" s="60" t="n"/>
      <c r="X193" s="60" t="n"/>
      <c r="Y193" s="63">
        <f>IF($H193="","",TODAY()-$H193)</f>
        <v/>
      </c>
      <c r="Z193" s="63">
        <f>IF($A193="","",IF(AND($F193="Yes",OR($U193="No",$U193="NOT FOUND")),"YES",""))</f>
        <v/>
      </c>
      <c r="AA193" s="66">
        <f>IF($A193="","",TRIM(IF(AND($P193=0,$L193&lt;&gt;"Yes"),"T0-NoSmartcard ","")&amp;IF(AND($J193&lt;&gt;"",$J193&gt;365),"StalePwd ","")&amp;IF($K193="Yes","PwdNeverExpires ","")&amp;IF(AND($S193&lt;&gt;"",$S193&lt;&gt;"None"),"Delegation ","")&amp;IF(AND($Q193=1,$O193="None"),"StaleAdminCount ","")&amp;IF(AND($F193="Yes",$H193=""),"NeverLoggedOn ","")))</f>
        <v/>
      </c>
      <c r="AB193" s="60" t="n"/>
      <c r="AC193" s="61" t="n"/>
      <c r="AD193" s="60" t="n"/>
      <c r="AE193" s="62" t="n"/>
      <c r="AF193" s="62" t="n"/>
      <c r="AG193" s="62" t="n"/>
      <c r="AH193" s="60" t="n"/>
      <c r="AI193" s="61" t="n"/>
      <c r="AJ193" s="63">
        <f>IF($A193="","",IF(AF193="","Not Enrolled",IF(TODAY()&gt;AF193,"Review Overdue",IF(AF193-TODAY()&lt;=30,"Review Due Soon","Active"))))</f>
        <v/>
      </c>
      <c r="AK193" s="63">
        <f>IF($A193="","",IF(AG193="","NOT REVIEWED",IF(TODAY()-AG193&gt;90,"OVERDUE",IF(TODAY()-AG193&gt;76,"Due Soon","Current"))))</f>
        <v/>
      </c>
    </row>
    <row r="194" ht="15" customHeight="1" s="39">
      <c r="A194" s="60" t="n"/>
      <c r="B194" s="60" t="n"/>
      <c r="C194" s="61" t="n"/>
      <c r="D194" s="61" t="n"/>
      <c r="E194" s="60" t="n"/>
      <c r="F194" s="60" t="n"/>
      <c r="G194" s="62" t="n"/>
      <c r="H194" s="62" t="n"/>
      <c r="I194" s="62" t="n"/>
      <c r="J194" s="60" t="n"/>
      <c r="K194" s="60" t="n"/>
      <c r="L194" s="60" t="n"/>
      <c r="M194" s="61" t="n"/>
      <c r="N194" s="60" t="n"/>
      <c r="O194" s="60" t="n"/>
      <c r="P194" s="60" t="n"/>
      <c r="Q194" s="60" t="n"/>
      <c r="R194" s="60" t="n"/>
      <c r="S194" s="60" t="n"/>
      <c r="T194" s="60" t="n"/>
      <c r="U194" s="60" t="n"/>
      <c r="V194" s="60" t="n"/>
      <c r="W194" s="60" t="n"/>
      <c r="X194" s="60" t="n"/>
      <c r="Y194" s="63">
        <f>IF($H194="","",TODAY()-$H194)</f>
        <v/>
      </c>
      <c r="Z194" s="63">
        <f>IF($A194="","",IF(AND($F194="Yes",OR($U194="No",$U194="NOT FOUND")),"YES",""))</f>
        <v/>
      </c>
      <c r="AA194" s="66">
        <f>IF($A194="","",TRIM(IF(AND($P194=0,$L194&lt;&gt;"Yes"),"T0-NoSmartcard ","")&amp;IF(AND($J194&lt;&gt;"",$J194&gt;365),"StalePwd ","")&amp;IF($K194="Yes","PwdNeverExpires ","")&amp;IF(AND($S194&lt;&gt;"",$S194&lt;&gt;"None"),"Delegation ","")&amp;IF(AND($Q194=1,$O194="None"),"StaleAdminCount ","")&amp;IF(AND($F194="Yes",$H194=""),"NeverLoggedOn ","")))</f>
        <v/>
      </c>
      <c r="AB194" s="60" t="n"/>
      <c r="AC194" s="61" t="n"/>
      <c r="AD194" s="60" t="n"/>
      <c r="AE194" s="62" t="n"/>
      <c r="AF194" s="62" t="n"/>
      <c r="AG194" s="62" t="n"/>
      <c r="AH194" s="60" t="n"/>
      <c r="AI194" s="61" t="n"/>
      <c r="AJ194" s="63">
        <f>IF($A194="","",IF(AF194="","Not Enrolled",IF(TODAY()&gt;AF194,"Review Overdue",IF(AF194-TODAY()&lt;=30,"Review Due Soon","Active"))))</f>
        <v/>
      </c>
      <c r="AK194" s="63">
        <f>IF($A194="","",IF(AG194="","NOT REVIEWED",IF(TODAY()-AG194&gt;90,"OVERDUE",IF(TODAY()-AG194&gt;76,"Due Soon","Current"))))</f>
        <v/>
      </c>
    </row>
    <row r="195" ht="15" customHeight="1" s="39">
      <c r="A195" s="60" t="n"/>
      <c r="B195" s="60" t="n"/>
      <c r="C195" s="61" t="n"/>
      <c r="D195" s="61" t="n"/>
      <c r="E195" s="60" t="n"/>
      <c r="F195" s="60" t="n"/>
      <c r="G195" s="62" t="n"/>
      <c r="H195" s="62" t="n"/>
      <c r="I195" s="62" t="n"/>
      <c r="J195" s="60" t="n"/>
      <c r="K195" s="60" t="n"/>
      <c r="L195" s="60" t="n"/>
      <c r="M195" s="61" t="n"/>
      <c r="N195" s="60" t="n"/>
      <c r="O195" s="60" t="n"/>
      <c r="P195" s="60" t="n"/>
      <c r="Q195" s="60" t="n"/>
      <c r="R195" s="60" t="n"/>
      <c r="S195" s="60" t="n"/>
      <c r="T195" s="60" t="n"/>
      <c r="U195" s="60" t="n"/>
      <c r="V195" s="60" t="n"/>
      <c r="W195" s="60" t="n"/>
      <c r="X195" s="60" t="n"/>
      <c r="Y195" s="63">
        <f>IF($H195="","",TODAY()-$H195)</f>
        <v/>
      </c>
      <c r="Z195" s="63">
        <f>IF($A195="","",IF(AND($F195="Yes",OR($U195="No",$U195="NOT FOUND")),"YES",""))</f>
        <v/>
      </c>
      <c r="AA195" s="66">
        <f>IF($A195="","",TRIM(IF(AND($P195=0,$L195&lt;&gt;"Yes"),"T0-NoSmartcard ","")&amp;IF(AND($J195&lt;&gt;"",$J195&gt;365),"StalePwd ","")&amp;IF($K195="Yes","PwdNeverExpires ","")&amp;IF(AND($S195&lt;&gt;"",$S195&lt;&gt;"None"),"Delegation ","")&amp;IF(AND($Q195=1,$O195="None"),"StaleAdminCount ","")&amp;IF(AND($F195="Yes",$H195=""),"NeverLoggedOn ","")))</f>
        <v/>
      </c>
      <c r="AB195" s="60" t="n"/>
      <c r="AC195" s="61" t="n"/>
      <c r="AD195" s="60" t="n"/>
      <c r="AE195" s="62" t="n"/>
      <c r="AF195" s="62" t="n"/>
      <c r="AG195" s="62" t="n"/>
      <c r="AH195" s="60" t="n"/>
      <c r="AI195" s="61" t="n"/>
      <c r="AJ195" s="63">
        <f>IF($A195="","",IF(AF195="","Not Enrolled",IF(TODAY()&gt;AF195,"Review Overdue",IF(AF195-TODAY()&lt;=30,"Review Due Soon","Active"))))</f>
        <v/>
      </c>
      <c r="AK195" s="63">
        <f>IF($A195="","",IF(AG195="","NOT REVIEWED",IF(TODAY()-AG195&gt;90,"OVERDUE",IF(TODAY()-AG195&gt;76,"Due Soon","Current"))))</f>
        <v/>
      </c>
    </row>
    <row r="196" ht="15" customHeight="1" s="39">
      <c r="A196" s="60" t="n"/>
      <c r="B196" s="60" t="n"/>
      <c r="C196" s="61" t="n"/>
      <c r="D196" s="61" t="n"/>
      <c r="E196" s="60" t="n"/>
      <c r="F196" s="60" t="n"/>
      <c r="G196" s="62" t="n"/>
      <c r="H196" s="62" t="n"/>
      <c r="I196" s="62" t="n"/>
      <c r="J196" s="60" t="n"/>
      <c r="K196" s="60" t="n"/>
      <c r="L196" s="60" t="n"/>
      <c r="M196" s="61" t="n"/>
      <c r="N196" s="60" t="n"/>
      <c r="O196" s="60" t="n"/>
      <c r="P196" s="60" t="n"/>
      <c r="Q196" s="60" t="n"/>
      <c r="R196" s="60" t="n"/>
      <c r="S196" s="60" t="n"/>
      <c r="T196" s="60" t="n"/>
      <c r="U196" s="60" t="n"/>
      <c r="V196" s="60" t="n"/>
      <c r="W196" s="60" t="n"/>
      <c r="X196" s="60" t="n"/>
      <c r="Y196" s="63">
        <f>IF($H196="","",TODAY()-$H196)</f>
        <v/>
      </c>
      <c r="Z196" s="63">
        <f>IF($A196="","",IF(AND($F196="Yes",OR($U196="No",$U196="NOT FOUND")),"YES",""))</f>
        <v/>
      </c>
      <c r="AA196" s="66">
        <f>IF($A196="","",TRIM(IF(AND($P196=0,$L196&lt;&gt;"Yes"),"T0-NoSmartcard ","")&amp;IF(AND($J196&lt;&gt;"",$J196&gt;365),"StalePwd ","")&amp;IF($K196="Yes","PwdNeverExpires ","")&amp;IF(AND($S196&lt;&gt;"",$S196&lt;&gt;"None"),"Delegation ","")&amp;IF(AND($Q196=1,$O196="None"),"StaleAdminCount ","")&amp;IF(AND($F196="Yes",$H196=""),"NeverLoggedOn ","")))</f>
        <v/>
      </c>
      <c r="AB196" s="60" t="n"/>
      <c r="AC196" s="61" t="n"/>
      <c r="AD196" s="60" t="n"/>
      <c r="AE196" s="62" t="n"/>
      <c r="AF196" s="62" t="n"/>
      <c r="AG196" s="62" t="n"/>
      <c r="AH196" s="60" t="n"/>
      <c r="AI196" s="61" t="n"/>
      <c r="AJ196" s="63">
        <f>IF($A196="","",IF(AF196="","Not Enrolled",IF(TODAY()&gt;AF196,"Review Overdue",IF(AF196-TODAY()&lt;=30,"Review Due Soon","Active"))))</f>
        <v/>
      </c>
      <c r="AK196" s="63">
        <f>IF($A196="","",IF(AG196="","NOT REVIEWED",IF(TODAY()-AG196&gt;90,"OVERDUE",IF(TODAY()-AG196&gt;76,"Due Soon","Current"))))</f>
        <v/>
      </c>
    </row>
    <row r="197" ht="15" customHeight="1" s="39">
      <c r="A197" s="60" t="n"/>
      <c r="B197" s="60" t="n"/>
      <c r="C197" s="61" t="n"/>
      <c r="D197" s="61" t="n"/>
      <c r="E197" s="60" t="n"/>
      <c r="F197" s="60" t="n"/>
      <c r="G197" s="62" t="n"/>
      <c r="H197" s="62" t="n"/>
      <c r="I197" s="62" t="n"/>
      <c r="J197" s="60" t="n"/>
      <c r="K197" s="60" t="n"/>
      <c r="L197" s="60" t="n"/>
      <c r="M197" s="61" t="n"/>
      <c r="N197" s="60" t="n"/>
      <c r="O197" s="60" t="n"/>
      <c r="P197" s="60" t="n"/>
      <c r="Q197" s="60" t="n"/>
      <c r="R197" s="60" t="n"/>
      <c r="S197" s="60" t="n"/>
      <c r="T197" s="60" t="n"/>
      <c r="U197" s="60" t="n"/>
      <c r="V197" s="60" t="n"/>
      <c r="W197" s="60" t="n"/>
      <c r="X197" s="60" t="n"/>
      <c r="Y197" s="63">
        <f>IF($H197="","",TODAY()-$H197)</f>
        <v/>
      </c>
      <c r="Z197" s="63">
        <f>IF($A197="","",IF(AND($F197="Yes",OR($U197="No",$U197="NOT FOUND")),"YES",""))</f>
        <v/>
      </c>
      <c r="AA197" s="66">
        <f>IF($A197="","",TRIM(IF(AND($P197=0,$L197&lt;&gt;"Yes"),"T0-NoSmartcard ","")&amp;IF(AND($J197&lt;&gt;"",$J197&gt;365),"StalePwd ","")&amp;IF($K197="Yes","PwdNeverExpires ","")&amp;IF(AND($S197&lt;&gt;"",$S197&lt;&gt;"None"),"Delegation ","")&amp;IF(AND($Q197=1,$O197="None"),"StaleAdminCount ","")&amp;IF(AND($F197="Yes",$H197=""),"NeverLoggedOn ","")))</f>
        <v/>
      </c>
      <c r="AB197" s="60" t="n"/>
      <c r="AC197" s="61" t="n"/>
      <c r="AD197" s="60" t="n"/>
      <c r="AE197" s="62" t="n"/>
      <c r="AF197" s="62" t="n"/>
      <c r="AG197" s="62" t="n"/>
      <c r="AH197" s="60" t="n"/>
      <c r="AI197" s="61" t="n"/>
      <c r="AJ197" s="63">
        <f>IF($A197="","",IF(AF197="","Not Enrolled",IF(TODAY()&gt;AF197,"Review Overdue",IF(AF197-TODAY()&lt;=30,"Review Due Soon","Active"))))</f>
        <v/>
      </c>
      <c r="AK197" s="63">
        <f>IF($A197="","",IF(AG197="","NOT REVIEWED",IF(TODAY()-AG197&gt;90,"OVERDUE",IF(TODAY()-AG197&gt;76,"Due Soon","Current"))))</f>
        <v/>
      </c>
    </row>
    <row r="198" ht="15" customHeight="1" s="39">
      <c r="A198" s="60" t="n"/>
      <c r="B198" s="60" t="n"/>
      <c r="C198" s="61" t="n"/>
      <c r="D198" s="61" t="n"/>
      <c r="E198" s="60" t="n"/>
      <c r="F198" s="60" t="n"/>
      <c r="G198" s="62" t="n"/>
      <c r="H198" s="62" t="n"/>
      <c r="I198" s="62" t="n"/>
      <c r="J198" s="60" t="n"/>
      <c r="K198" s="60" t="n"/>
      <c r="L198" s="60" t="n"/>
      <c r="M198" s="61" t="n"/>
      <c r="N198" s="60" t="n"/>
      <c r="O198" s="60" t="n"/>
      <c r="P198" s="60" t="n"/>
      <c r="Q198" s="60" t="n"/>
      <c r="R198" s="60" t="n"/>
      <c r="S198" s="60" t="n"/>
      <c r="T198" s="60" t="n"/>
      <c r="U198" s="60" t="n"/>
      <c r="V198" s="60" t="n"/>
      <c r="W198" s="60" t="n"/>
      <c r="X198" s="60" t="n"/>
      <c r="Y198" s="63">
        <f>IF($H198="","",TODAY()-$H198)</f>
        <v/>
      </c>
      <c r="Z198" s="63">
        <f>IF($A198="","",IF(AND($F198="Yes",OR($U198="No",$U198="NOT FOUND")),"YES",""))</f>
        <v/>
      </c>
      <c r="AA198" s="66">
        <f>IF($A198="","",TRIM(IF(AND($P198=0,$L198&lt;&gt;"Yes"),"T0-NoSmartcard ","")&amp;IF(AND($J198&lt;&gt;"",$J198&gt;365),"StalePwd ","")&amp;IF($K198="Yes","PwdNeverExpires ","")&amp;IF(AND($S198&lt;&gt;"",$S198&lt;&gt;"None"),"Delegation ","")&amp;IF(AND($Q198=1,$O198="None"),"StaleAdminCount ","")&amp;IF(AND($F198="Yes",$H198=""),"NeverLoggedOn ","")))</f>
        <v/>
      </c>
      <c r="AB198" s="60" t="n"/>
      <c r="AC198" s="61" t="n"/>
      <c r="AD198" s="60" t="n"/>
      <c r="AE198" s="62" t="n"/>
      <c r="AF198" s="62" t="n"/>
      <c r="AG198" s="62" t="n"/>
      <c r="AH198" s="60" t="n"/>
      <c r="AI198" s="61" t="n"/>
      <c r="AJ198" s="63">
        <f>IF($A198="","",IF(AF198="","Not Enrolled",IF(TODAY()&gt;AF198,"Review Overdue",IF(AF198-TODAY()&lt;=30,"Review Due Soon","Active"))))</f>
        <v/>
      </c>
      <c r="AK198" s="63">
        <f>IF($A198="","",IF(AG198="","NOT REVIEWED",IF(TODAY()-AG198&gt;90,"OVERDUE",IF(TODAY()-AG198&gt;76,"Due Soon","Current"))))</f>
        <v/>
      </c>
    </row>
    <row r="199" ht="15" customHeight="1" s="39">
      <c r="A199" s="60" t="n"/>
      <c r="B199" s="60" t="n"/>
      <c r="C199" s="61" t="n"/>
      <c r="D199" s="61" t="n"/>
      <c r="E199" s="60" t="n"/>
      <c r="F199" s="60" t="n"/>
      <c r="G199" s="62" t="n"/>
      <c r="H199" s="62" t="n"/>
      <c r="I199" s="62" t="n"/>
      <c r="J199" s="60" t="n"/>
      <c r="K199" s="60" t="n"/>
      <c r="L199" s="60" t="n"/>
      <c r="M199" s="61" t="n"/>
      <c r="N199" s="60" t="n"/>
      <c r="O199" s="60" t="n"/>
      <c r="P199" s="60" t="n"/>
      <c r="Q199" s="60" t="n"/>
      <c r="R199" s="60" t="n"/>
      <c r="S199" s="60" t="n"/>
      <c r="T199" s="60" t="n"/>
      <c r="U199" s="60" t="n"/>
      <c r="V199" s="60" t="n"/>
      <c r="W199" s="60" t="n"/>
      <c r="X199" s="60" t="n"/>
      <c r="Y199" s="63">
        <f>IF($H199="","",TODAY()-$H199)</f>
        <v/>
      </c>
      <c r="Z199" s="63">
        <f>IF($A199="","",IF(AND($F199="Yes",OR($U199="No",$U199="NOT FOUND")),"YES",""))</f>
        <v/>
      </c>
      <c r="AA199" s="66">
        <f>IF($A199="","",TRIM(IF(AND($P199=0,$L199&lt;&gt;"Yes"),"T0-NoSmartcard ","")&amp;IF(AND($J199&lt;&gt;"",$J199&gt;365),"StalePwd ","")&amp;IF($K199="Yes","PwdNeverExpires ","")&amp;IF(AND($S199&lt;&gt;"",$S199&lt;&gt;"None"),"Delegation ","")&amp;IF(AND($Q199=1,$O199="None"),"StaleAdminCount ","")&amp;IF(AND($F199="Yes",$H199=""),"NeverLoggedOn ","")))</f>
        <v/>
      </c>
      <c r="AB199" s="60" t="n"/>
      <c r="AC199" s="61" t="n"/>
      <c r="AD199" s="60" t="n"/>
      <c r="AE199" s="62" t="n"/>
      <c r="AF199" s="62" t="n"/>
      <c r="AG199" s="62" t="n"/>
      <c r="AH199" s="60" t="n"/>
      <c r="AI199" s="61" t="n"/>
      <c r="AJ199" s="63">
        <f>IF($A199="","",IF(AF199="","Not Enrolled",IF(TODAY()&gt;AF199,"Review Overdue",IF(AF199-TODAY()&lt;=30,"Review Due Soon","Active"))))</f>
        <v/>
      </c>
      <c r="AK199" s="63">
        <f>IF($A199="","",IF(AG199="","NOT REVIEWED",IF(TODAY()-AG199&gt;90,"OVERDUE",IF(TODAY()-AG199&gt;76,"Due Soon","Current"))))</f>
        <v/>
      </c>
    </row>
    <row r="200" ht="15" customHeight="1" s="39">
      <c r="A200" s="60" t="n"/>
      <c r="B200" s="60" t="n"/>
      <c r="C200" s="61" t="n"/>
      <c r="D200" s="61" t="n"/>
      <c r="E200" s="60" t="n"/>
      <c r="F200" s="60" t="n"/>
      <c r="G200" s="62" t="n"/>
      <c r="H200" s="62" t="n"/>
      <c r="I200" s="62" t="n"/>
      <c r="J200" s="60" t="n"/>
      <c r="K200" s="60" t="n"/>
      <c r="L200" s="60" t="n"/>
      <c r="M200" s="61" t="n"/>
      <c r="N200" s="60" t="n"/>
      <c r="O200" s="60" t="n"/>
      <c r="P200" s="60" t="n"/>
      <c r="Q200" s="60" t="n"/>
      <c r="R200" s="60" t="n"/>
      <c r="S200" s="60" t="n"/>
      <c r="T200" s="60" t="n"/>
      <c r="U200" s="60" t="n"/>
      <c r="V200" s="60" t="n"/>
      <c r="W200" s="60" t="n"/>
      <c r="X200" s="60" t="n"/>
      <c r="Y200" s="63">
        <f>IF($H200="","",TODAY()-$H200)</f>
        <v/>
      </c>
      <c r="Z200" s="63">
        <f>IF($A200="","",IF(AND($F200="Yes",OR($U200="No",$U200="NOT FOUND")),"YES",""))</f>
        <v/>
      </c>
      <c r="AA200" s="66">
        <f>IF($A200="","",TRIM(IF(AND($P200=0,$L200&lt;&gt;"Yes"),"T0-NoSmartcard ","")&amp;IF(AND($J200&lt;&gt;"",$J200&gt;365),"StalePwd ","")&amp;IF($K200="Yes","PwdNeverExpires ","")&amp;IF(AND($S200&lt;&gt;"",$S200&lt;&gt;"None"),"Delegation ","")&amp;IF(AND($Q200=1,$O200="None"),"StaleAdminCount ","")&amp;IF(AND($F200="Yes",$H200=""),"NeverLoggedOn ","")))</f>
        <v/>
      </c>
      <c r="AB200" s="60" t="n"/>
      <c r="AC200" s="61" t="n"/>
      <c r="AD200" s="60" t="n"/>
      <c r="AE200" s="62" t="n"/>
      <c r="AF200" s="62" t="n"/>
      <c r="AG200" s="62" t="n"/>
      <c r="AH200" s="60" t="n"/>
      <c r="AI200" s="61" t="n"/>
      <c r="AJ200" s="63">
        <f>IF($A200="","",IF(AF200="","Not Enrolled",IF(TODAY()&gt;AF200,"Review Overdue",IF(AF200-TODAY()&lt;=30,"Review Due Soon","Active"))))</f>
        <v/>
      </c>
      <c r="AK200" s="63">
        <f>IF($A200="","",IF(AG200="","NOT REVIEWED",IF(TODAY()-AG200&gt;90,"OVERDUE",IF(TODAY()-AG200&gt;76,"Due Soon","Current"))))</f>
        <v/>
      </c>
    </row>
    <row r="201" ht="15" customHeight="1" s="39">
      <c r="A201" s="60" t="n"/>
      <c r="B201" s="60" t="n"/>
      <c r="C201" s="61" t="n"/>
      <c r="D201" s="61" t="n"/>
      <c r="E201" s="60" t="n"/>
      <c r="F201" s="60" t="n"/>
      <c r="G201" s="62" t="n"/>
      <c r="H201" s="62" t="n"/>
      <c r="I201" s="62" t="n"/>
      <c r="J201" s="60" t="n"/>
      <c r="K201" s="60" t="n"/>
      <c r="L201" s="60" t="n"/>
      <c r="M201" s="61" t="n"/>
      <c r="N201" s="60" t="n"/>
      <c r="O201" s="60" t="n"/>
      <c r="P201" s="60" t="n"/>
      <c r="Q201" s="60" t="n"/>
      <c r="R201" s="60" t="n"/>
      <c r="S201" s="60" t="n"/>
      <c r="T201" s="60" t="n"/>
      <c r="U201" s="60" t="n"/>
      <c r="V201" s="60" t="n"/>
      <c r="W201" s="60" t="n"/>
      <c r="X201" s="60" t="n"/>
      <c r="Y201" s="63">
        <f>IF($H201="","",TODAY()-$H201)</f>
        <v/>
      </c>
      <c r="Z201" s="63">
        <f>IF($A201="","",IF(AND($F201="Yes",OR($U201="No",$U201="NOT FOUND")),"YES",""))</f>
        <v/>
      </c>
      <c r="AA201" s="66">
        <f>IF($A201="","",TRIM(IF(AND($P201=0,$L201&lt;&gt;"Yes"),"T0-NoSmartcard ","")&amp;IF(AND($J201&lt;&gt;"",$J201&gt;365),"StalePwd ","")&amp;IF($K201="Yes","PwdNeverExpires ","")&amp;IF(AND($S201&lt;&gt;"",$S201&lt;&gt;"None"),"Delegation ","")&amp;IF(AND($Q201=1,$O201="None"),"StaleAdminCount ","")&amp;IF(AND($F201="Yes",$H201=""),"NeverLoggedOn ","")))</f>
        <v/>
      </c>
      <c r="AB201" s="60" t="n"/>
      <c r="AC201" s="61" t="n"/>
      <c r="AD201" s="60" t="n"/>
      <c r="AE201" s="62" t="n"/>
      <c r="AF201" s="62" t="n"/>
      <c r="AG201" s="62" t="n"/>
      <c r="AH201" s="60" t="n"/>
      <c r="AI201" s="61" t="n"/>
      <c r="AJ201" s="63">
        <f>IF($A201="","",IF(AF201="","Not Enrolled",IF(TODAY()&gt;AF201,"Review Overdue",IF(AF201-TODAY()&lt;=30,"Review Due Soon","Active"))))</f>
        <v/>
      </c>
      <c r="AK201" s="63">
        <f>IF($A201="","",IF(AG201="","NOT REVIEWED",IF(TODAY()-AG201&gt;90,"OVERDUE",IF(TODAY()-AG201&gt;76,"Due Soon","Current"))))</f>
        <v/>
      </c>
    </row>
    <row r="202" ht="15" customHeight="1" s="39">
      <c r="A202" s="60" t="n"/>
      <c r="B202" s="60" t="n"/>
      <c r="C202" s="61" t="n"/>
      <c r="D202" s="61" t="n"/>
      <c r="E202" s="60" t="n"/>
      <c r="F202" s="60" t="n"/>
      <c r="G202" s="62" t="n"/>
      <c r="H202" s="62" t="n"/>
      <c r="I202" s="62" t="n"/>
      <c r="J202" s="60" t="n"/>
      <c r="K202" s="60" t="n"/>
      <c r="L202" s="60" t="n"/>
      <c r="M202" s="61" t="n"/>
      <c r="N202" s="60" t="n"/>
      <c r="O202" s="60" t="n"/>
      <c r="P202" s="60" t="n"/>
      <c r="Q202" s="60" t="n"/>
      <c r="R202" s="60" t="n"/>
      <c r="S202" s="60" t="n"/>
      <c r="T202" s="60" t="n"/>
      <c r="U202" s="60" t="n"/>
      <c r="V202" s="60" t="n"/>
      <c r="W202" s="60" t="n"/>
      <c r="X202" s="60" t="n"/>
      <c r="Y202" s="63">
        <f>IF($H202="","",TODAY()-$H202)</f>
        <v/>
      </c>
      <c r="Z202" s="63">
        <f>IF($A202="","",IF(AND($F202="Yes",OR($U202="No",$U202="NOT FOUND")),"YES",""))</f>
        <v/>
      </c>
      <c r="AA202" s="66">
        <f>IF($A202="","",TRIM(IF(AND($P202=0,$L202&lt;&gt;"Yes"),"T0-NoSmartcard ","")&amp;IF(AND($J202&lt;&gt;"",$J202&gt;365),"StalePwd ","")&amp;IF($K202="Yes","PwdNeverExpires ","")&amp;IF(AND($S202&lt;&gt;"",$S202&lt;&gt;"None"),"Delegation ","")&amp;IF(AND($Q202=1,$O202="None"),"StaleAdminCount ","")&amp;IF(AND($F202="Yes",$H202=""),"NeverLoggedOn ","")))</f>
        <v/>
      </c>
      <c r="AB202" s="60" t="n"/>
      <c r="AC202" s="61" t="n"/>
      <c r="AD202" s="60" t="n"/>
      <c r="AE202" s="62" t="n"/>
      <c r="AF202" s="62" t="n"/>
      <c r="AG202" s="62" t="n"/>
      <c r="AH202" s="60" t="n"/>
      <c r="AI202" s="61" t="n"/>
      <c r="AJ202" s="63">
        <f>IF($A202="","",IF(AF202="","Not Enrolled",IF(TODAY()&gt;AF202,"Review Overdue",IF(AF202-TODAY()&lt;=30,"Review Due Soon","Active"))))</f>
        <v/>
      </c>
      <c r="AK202" s="63">
        <f>IF($A202="","",IF(AG202="","NOT REVIEWED",IF(TODAY()-AG202&gt;90,"OVERDUE",IF(TODAY()-AG202&gt;76,"Due Soon","Current"))))</f>
        <v/>
      </c>
    </row>
    <row r="203" ht="15" customHeight="1" s="39">
      <c r="A203" s="60" t="n"/>
      <c r="B203" s="60" t="n"/>
      <c r="C203" s="61" t="n"/>
      <c r="D203" s="61" t="n"/>
      <c r="E203" s="60" t="n"/>
      <c r="F203" s="60" t="n"/>
      <c r="G203" s="62" t="n"/>
      <c r="H203" s="62" t="n"/>
      <c r="I203" s="62" t="n"/>
      <c r="J203" s="60" t="n"/>
      <c r="K203" s="60" t="n"/>
      <c r="L203" s="60" t="n"/>
      <c r="M203" s="61" t="n"/>
      <c r="N203" s="60" t="n"/>
      <c r="O203" s="60" t="n"/>
      <c r="P203" s="60" t="n"/>
      <c r="Q203" s="60" t="n"/>
      <c r="R203" s="60" t="n"/>
      <c r="S203" s="60" t="n"/>
      <c r="T203" s="60" t="n"/>
      <c r="U203" s="60" t="n"/>
      <c r="V203" s="60" t="n"/>
      <c r="W203" s="60" t="n"/>
      <c r="X203" s="60" t="n"/>
      <c r="Y203" s="63">
        <f>IF($H203="","",TODAY()-$H203)</f>
        <v/>
      </c>
      <c r="Z203" s="63">
        <f>IF($A203="","",IF(AND($F203="Yes",OR($U203="No",$U203="NOT FOUND")),"YES",""))</f>
        <v/>
      </c>
      <c r="AA203" s="66">
        <f>IF($A203="","",TRIM(IF(AND($P203=0,$L203&lt;&gt;"Yes"),"T0-NoSmartcard ","")&amp;IF(AND($J203&lt;&gt;"",$J203&gt;365),"StalePwd ","")&amp;IF($K203="Yes","PwdNeverExpires ","")&amp;IF(AND($S203&lt;&gt;"",$S203&lt;&gt;"None"),"Delegation ","")&amp;IF(AND($Q203=1,$O203="None"),"StaleAdminCount ","")&amp;IF(AND($F203="Yes",$H203=""),"NeverLoggedOn ","")))</f>
        <v/>
      </c>
      <c r="AB203" s="60" t="n"/>
      <c r="AC203" s="61" t="n"/>
      <c r="AD203" s="60" t="n"/>
      <c r="AE203" s="62" t="n"/>
      <c r="AF203" s="62" t="n"/>
      <c r="AG203" s="62" t="n"/>
      <c r="AH203" s="60" t="n"/>
      <c r="AI203" s="61" t="n"/>
      <c r="AJ203" s="63">
        <f>IF($A203="","",IF(AF203="","Not Enrolled",IF(TODAY()&gt;AF203,"Review Overdue",IF(AF203-TODAY()&lt;=30,"Review Due Soon","Active"))))</f>
        <v/>
      </c>
      <c r="AK203" s="63">
        <f>IF($A203="","",IF(AG203="","NOT REVIEWED",IF(TODAY()-AG203&gt;90,"OVERDUE",IF(TODAY()-AG203&gt;76,"Due Soon","Current"))))</f>
        <v/>
      </c>
    </row>
    <row r="204" ht="15" customHeight="1" s="39">
      <c r="A204" s="60" t="n"/>
      <c r="B204" s="60" t="n"/>
      <c r="C204" s="61" t="n"/>
      <c r="D204" s="61" t="n"/>
      <c r="E204" s="60" t="n"/>
      <c r="F204" s="60" t="n"/>
      <c r="G204" s="62" t="n"/>
      <c r="H204" s="62" t="n"/>
      <c r="I204" s="62" t="n"/>
      <c r="J204" s="60" t="n"/>
      <c r="K204" s="60" t="n"/>
      <c r="L204" s="60" t="n"/>
      <c r="M204" s="61" t="n"/>
      <c r="N204" s="60" t="n"/>
      <c r="O204" s="60" t="n"/>
      <c r="P204" s="60" t="n"/>
      <c r="Q204" s="60" t="n"/>
      <c r="R204" s="60" t="n"/>
      <c r="S204" s="60" t="n"/>
      <c r="T204" s="60" t="n"/>
      <c r="U204" s="60" t="n"/>
      <c r="V204" s="60" t="n"/>
      <c r="W204" s="60" t="n"/>
      <c r="X204" s="60" t="n"/>
      <c r="Y204" s="63">
        <f>IF($H204="","",TODAY()-$H204)</f>
        <v/>
      </c>
      <c r="Z204" s="63">
        <f>IF($A204="","",IF(AND($F204="Yes",OR($U204="No",$U204="NOT FOUND")),"YES",""))</f>
        <v/>
      </c>
      <c r="AA204" s="66">
        <f>IF($A204="","",TRIM(IF(AND($P204=0,$L204&lt;&gt;"Yes"),"T0-NoSmartcard ","")&amp;IF(AND($J204&lt;&gt;"",$J204&gt;365),"StalePwd ","")&amp;IF($K204="Yes","PwdNeverExpires ","")&amp;IF(AND($S204&lt;&gt;"",$S204&lt;&gt;"None"),"Delegation ","")&amp;IF(AND($Q204=1,$O204="None"),"StaleAdminCount ","")&amp;IF(AND($F204="Yes",$H204=""),"NeverLoggedOn ","")))</f>
        <v/>
      </c>
      <c r="AB204" s="60" t="n"/>
      <c r="AC204" s="61" t="n"/>
      <c r="AD204" s="60" t="n"/>
      <c r="AE204" s="62" t="n"/>
      <c r="AF204" s="62" t="n"/>
      <c r="AG204" s="62" t="n"/>
      <c r="AH204" s="60" t="n"/>
      <c r="AI204" s="61" t="n"/>
      <c r="AJ204" s="63">
        <f>IF($A204="","",IF(AF204="","Not Enrolled",IF(TODAY()&gt;AF204,"Review Overdue",IF(AF204-TODAY()&lt;=30,"Review Due Soon","Active"))))</f>
        <v/>
      </c>
      <c r="AK204" s="63">
        <f>IF($A204="","",IF(AG204="","NOT REVIEWED",IF(TODAY()-AG204&gt;90,"OVERDUE",IF(TODAY()-AG204&gt;76,"Due Soon","Current"))))</f>
        <v/>
      </c>
    </row>
    <row r="205" ht="15" customHeight="1" s="39">
      <c r="A205" s="60" t="n"/>
      <c r="B205" s="60" t="n"/>
      <c r="C205" s="61" t="n"/>
      <c r="D205" s="61" t="n"/>
      <c r="E205" s="60" t="n"/>
      <c r="F205" s="60" t="n"/>
      <c r="G205" s="62" t="n"/>
      <c r="H205" s="62" t="n"/>
      <c r="I205" s="62" t="n"/>
      <c r="J205" s="60" t="n"/>
      <c r="K205" s="60" t="n"/>
      <c r="L205" s="60" t="n"/>
      <c r="M205" s="61" t="n"/>
      <c r="N205" s="60" t="n"/>
      <c r="O205" s="60" t="n"/>
      <c r="P205" s="60" t="n"/>
      <c r="Q205" s="60" t="n"/>
      <c r="R205" s="60" t="n"/>
      <c r="S205" s="60" t="n"/>
      <c r="T205" s="60" t="n"/>
      <c r="U205" s="60" t="n"/>
      <c r="V205" s="60" t="n"/>
      <c r="W205" s="60" t="n"/>
      <c r="X205" s="60" t="n"/>
      <c r="Y205" s="63">
        <f>IF($H205="","",TODAY()-$H205)</f>
        <v/>
      </c>
      <c r="Z205" s="63">
        <f>IF($A205="","",IF(AND($F205="Yes",OR($U205="No",$U205="NOT FOUND")),"YES",""))</f>
        <v/>
      </c>
      <c r="AA205" s="66">
        <f>IF($A205="","",TRIM(IF(AND($P205=0,$L205&lt;&gt;"Yes"),"T0-NoSmartcard ","")&amp;IF(AND($J205&lt;&gt;"",$J205&gt;365),"StalePwd ","")&amp;IF($K205="Yes","PwdNeverExpires ","")&amp;IF(AND($S205&lt;&gt;"",$S205&lt;&gt;"None"),"Delegation ","")&amp;IF(AND($Q205=1,$O205="None"),"StaleAdminCount ","")&amp;IF(AND($F205="Yes",$H205=""),"NeverLoggedOn ","")))</f>
        <v/>
      </c>
      <c r="AB205" s="60" t="n"/>
      <c r="AC205" s="61" t="n"/>
      <c r="AD205" s="60" t="n"/>
      <c r="AE205" s="62" t="n"/>
      <c r="AF205" s="62" t="n"/>
      <c r="AG205" s="62" t="n"/>
      <c r="AH205" s="60" t="n"/>
      <c r="AI205" s="61" t="n"/>
      <c r="AJ205" s="63">
        <f>IF($A205="","",IF(AF205="","Not Enrolled",IF(TODAY()&gt;AF205,"Review Overdue",IF(AF205-TODAY()&lt;=30,"Review Due Soon","Active"))))</f>
        <v/>
      </c>
      <c r="AK205" s="63">
        <f>IF($A205="","",IF(AG205="","NOT REVIEWED",IF(TODAY()-AG205&gt;90,"OVERDUE",IF(TODAY()-AG205&gt;76,"Due Soon","Current"))))</f>
        <v/>
      </c>
    </row>
    <row r="206" ht="15" customHeight="1" s="39">
      <c r="A206" s="60" t="n"/>
      <c r="B206" s="60" t="n"/>
      <c r="C206" s="61" t="n"/>
      <c r="D206" s="61" t="n"/>
      <c r="E206" s="60" t="n"/>
      <c r="F206" s="60" t="n"/>
      <c r="G206" s="62" t="n"/>
      <c r="H206" s="62" t="n"/>
      <c r="I206" s="62" t="n"/>
      <c r="J206" s="60" t="n"/>
      <c r="K206" s="60" t="n"/>
      <c r="L206" s="60" t="n"/>
      <c r="M206" s="61" t="n"/>
      <c r="N206" s="60" t="n"/>
      <c r="O206" s="60" t="n"/>
      <c r="P206" s="60" t="n"/>
      <c r="Q206" s="60" t="n"/>
      <c r="R206" s="60" t="n"/>
      <c r="S206" s="60" t="n"/>
      <c r="T206" s="60" t="n"/>
      <c r="U206" s="60" t="n"/>
      <c r="V206" s="60" t="n"/>
      <c r="W206" s="60" t="n"/>
      <c r="X206" s="60" t="n"/>
      <c r="Y206" s="63">
        <f>IF($H206="","",TODAY()-$H206)</f>
        <v/>
      </c>
      <c r="Z206" s="63">
        <f>IF($A206="","",IF(AND($F206="Yes",OR($U206="No",$U206="NOT FOUND")),"YES",""))</f>
        <v/>
      </c>
      <c r="AA206" s="66">
        <f>IF($A206="","",TRIM(IF(AND($P206=0,$L206&lt;&gt;"Yes"),"T0-NoSmartcard ","")&amp;IF(AND($J206&lt;&gt;"",$J206&gt;365),"StalePwd ","")&amp;IF($K206="Yes","PwdNeverExpires ","")&amp;IF(AND($S206&lt;&gt;"",$S206&lt;&gt;"None"),"Delegation ","")&amp;IF(AND($Q206=1,$O206="None"),"StaleAdminCount ","")&amp;IF(AND($F206="Yes",$H206=""),"NeverLoggedOn ","")))</f>
        <v/>
      </c>
      <c r="AB206" s="60" t="n"/>
      <c r="AC206" s="61" t="n"/>
      <c r="AD206" s="60" t="n"/>
      <c r="AE206" s="62" t="n"/>
      <c r="AF206" s="62" t="n"/>
      <c r="AG206" s="62" t="n"/>
      <c r="AH206" s="60" t="n"/>
      <c r="AI206" s="61" t="n"/>
      <c r="AJ206" s="63">
        <f>IF($A206="","",IF(AF206="","Not Enrolled",IF(TODAY()&gt;AF206,"Review Overdue",IF(AF206-TODAY()&lt;=30,"Review Due Soon","Active"))))</f>
        <v/>
      </c>
      <c r="AK206" s="63">
        <f>IF($A206="","",IF(AG206="","NOT REVIEWED",IF(TODAY()-AG206&gt;90,"OVERDUE",IF(TODAY()-AG206&gt;76,"Due Soon","Current"))))</f>
        <v/>
      </c>
    </row>
    <row r="207" ht="15" customHeight="1" s="39">
      <c r="A207" s="60" t="n"/>
      <c r="B207" s="60" t="n"/>
      <c r="C207" s="61" t="n"/>
      <c r="D207" s="61" t="n"/>
      <c r="E207" s="60" t="n"/>
      <c r="F207" s="60" t="n"/>
      <c r="G207" s="62" t="n"/>
      <c r="H207" s="62" t="n"/>
      <c r="I207" s="62" t="n"/>
      <c r="J207" s="60" t="n"/>
      <c r="K207" s="60" t="n"/>
      <c r="L207" s="60" t="n"/>
      <c r="M207" s="61" t="n"/>
      <c r="N207" s="60" t="n"/>
      <c r="O207" s="60" t="n"/>
      <c r="P207" s="60" t="n"/>
      <c r="Q207" s="60" t="n"/>
      <c r="R207" s="60" t="n"/>
      <c r="S207" s="60" t="n"/>
      <c r="T207" s="60" t="n"/>
      <c r="U207" s="60" t="n"/>
      <c r="V207" s="60" t="n"/>
      <c r="W207" s="60" t="n"/>
      <c r="X207" s="60" t="n"/>
      <c r="Y207" s="63">
        <f>IF($H207="","",TODAY()-$H207)</f>
        <v/>
      </c>
      <c r="Z207" s="63">
        <f>IF($A207="","",IF(AND($F207="Yes",OR($U207="No",$U207="NOT FOUND")),"YES",""))</f>
        <v/>
      </c>
      <c r="AA207" s="66">
        <f>IF($A207="","",TRIM(IF(AND($P207=0,$L207&lt;&gt;"Yes"),"T0-NoSmartcard ","")&amp;IF(AND($J207&lt;&gt;"",$J207&gt;365),"StalePwd ","")&amp;IF($K207="Yes","PwdNeverExpires ","")&amp;IF(AND($S207&lt;&gt;"",$S207&lt;&gt;"None"),"Delegation ","")&amp;IF(AND($Q207=1,$O207="None"),"StaleAdminCount ","")&amp;IF(AND($F207="Yes",$H207=""),"NeverLoggedOn ","")))</f>
        <v/>
      </c>
      <c r="AB207" s="60" t="n"/>
      <c r="AC207" s="61" t="n"/>
      <c r="AD207" s="60" t="n"/>
      <c r="AE207" s="62" t="n"/>
      <c r="AF207" s="62" t="n"/>
      <c r="AG207" s="62" t="n"/>
      <c r="AH207" s="60" t="n"/>
      <c r="AI207" s="61" t="n"/>
      <c r="AJ207" s="63">
        <f>IF($A207="","",IF(AF207="","Not Enrolled",IF(TODAY()&gt;AF207,"Review Overdue",IF(AF207-TODAY()&lt;=30,"Review Due Soon","Active"))))</f>
        <v/>
      </c>
      <c r="AK207" s="63">
        <f>IF($A207="","",IF(AG207="","NOT REVIEWED",IF(TODAY()-AG207&gt;90,"OVERDUE",IF(TODAY()-AG207&gt;76,"Due Soon","Current"))))</f>
        <v/>
      </c>
    </row>
    <row r="208" ht="15" customHeight="1" s="39">
      <c r="A208" s="60" t="n"/>
      <c r="B208" s="60" t="n"/>
      <c r="C208" s="61" t="n"/>
      <c r="D208" s="61" t="n"/>
      <c r="E208" s="60" t="n"/>
      <c r="F208" s="60" t="n"/>
      <c r="G208" s="62" t="n"/>
      <c r="H208" s="62" t="n"/>
      <c r="I208" s="62" t="n"/>
      <c r="J208" s="60" t="n"/>
      <c r="K208" s="60" t="n"/>
      <c r="L208" s="60" t="n"/>
      <c r="M208" s="61" t="n"/>
      <c r="N208" s="60" t="n"/>
      <c r="O208" s="60" t="n"/>
      <c r="P208" s="60" t="n"/>
      <c r="Q208" s="60" t="n"/>
      <c r="R208" s="60" t="n"/>
      <c r="S208" s="60" t="n"/>
      <c r="T208" s="60" t="n"/>
      <c r="U208" s="60" t="n"/>
      <c r="V208" s="60" t="n"/>
      <c r="W208" s="60" t="n"/>
      <c r="X208" s="60" t="n"/>
      <c r="Y208" s="63">
        <f>IF($H208="","",TODAY()-$H208)</f>
        <v/>
      </c>
      <c r="Z208" s="63">
        <f>IF($A208="","",IF(AND($F208="Yes",OR($U208="No",$U208="NOT FOUND")),"YES",""))</f>
        <v/>
      </c>
      <c r="AA208" s="66">
        <f>IF($A208="","",TRIM(IF(AND($P208=0,$L208&lt;&gt;"Yes"),"T0-NoSmartcard ","")&amp;IF(AND($J208&lt;&gt;"",$J208&gt;365),"StalePwd ","")&amp;IF($K208="Yes","PwdNeverExpires ","")&amp;IF(AND($S208&lt;&gt;"",$S208&lt;&gt;"None"),"Delegation ","")&amp;IF(AND($Q208=1,$O208="None"),"StaleAdminCount ","")&amp;IF(AND($F208="Yes",$H208=""),"NeverLoggedOn ","")))</f>
        <v/>
      </c>
      <c r="AB208" s="60" t="n"/>
      <c r="AC208" s="61" t="n"/>
      <c r="AD208" s="60" t="n"/>
      <c r="AE208" s="62" t="n"/>
      <c r="AF208" s="62" t="n"/>
      <c r="AG208" s="62" t="n"/>
      <c r="AH208" s="60" t="n"/>
      <c r="AI208" s="61" t="n"/>
      <c r="AJ208" s="63">
        <f>IF($A208="","",IF(AF208="","Not Enrolled",IF(TODAY()&gt;AF208,"Review Overdue",IF(AF208-TODAY()&lt;=30,"Review Due Soon","Active"))))</f>
        <v/>
      </c>
      <c r="AK208" s="63">
        <f>IF($A208="","",IF(AG208="","NOT REVIEWED",IF(TODAY()-AG208&gt;90,"OVERDUE",IF(TODAY()-AG208&gt;76,"Due Soon","Current"))))</f>
        <v/>
      </c>
    </row>
    <row r="209" ht="15" customHeight="1" s="39">
      <c r="A209" s="60" t="n"/>
      <c r="B209" s="60" t="n"/>
      <c r="C209" s="61" t="n"/>
      <c r="D209" s="61" t="n"/>
      <c r="E209" s="60" t="n"/>
      <c r="F209" s="60" t="n"/>
      <c r="G209" s="62" t="n"/>
      <c r="H209" s="62" t="n"/>
      <c r="I209" s="62" t="n"/>
      <c r="J209" s="60" t="n"/>
      <c r="K209" s="60" t="n"/>
      <c r="L209" s="60" t="n"/>
      <c r="M209" s="61" t="n"/>
      <c r="N209" s="60" t="n"/>
      <c r="O209" s="60" t="n"/>
      <c r="P209" s="60" t="n"/>
      <c r="Q209" s="60" t="n"/>
      <c r="R209" s="60" t="n"/>
      <c r="S209" s="60" t="n"/>
      <c r="T209" s="60" t="n"/>
      <c r="U209" s="60" t="n"/>
      <c r="V209" s="60" t="n"/>
      <c r="W209" s="60" t="n"/>
      <c r="X209" s="60" t="n"/>
      <c r="Y209" s="63">
        <f>IF($H209="","",TODAY()-$H209)</f>
        <v/>
      </c>
      <c r="Z209" s="63">
        <f>IF($A209="","",IF(AND($F209="Yes",OR($U209="No",$U209="NOT FOUND")),"YES",""))</f>
        <v/>
      </c>
      <c r="AA209" s="66">
        <f>IF($A209="","",TRIM(IF(AND($P209=0,$L209&lt;&gt;"Yes"),"T0-NoSmartcard ","")&amp;IF(AND($J209&lt;&gt;"",$J209&gt;365),"StalePwd ","")&amp;IF($K209="Yes","PwdNeverExpires ","")&amp;IF(AND($S209&lt;&gt;"",$S209&lt;&gt;"None"),"Delegation ","")&amp;IF(AND($Q209=1,$O209="None"),"StaleAdminCount ","")&amp;IF(AND($F209="Yes",$H209=""),"NeverLoggedOn ","")))</f>
        <v/>
      </c>
      <c r="AB209" s="60" t="n"/>
      <c r="AC209" s="61" t="n"/>
      <c r="AD209" s="60" t="n"/>
      <c r="AE209" s="62" t="n"/>
      <c r="AF209" s="62" t="n"/>
      <c r="AG209" s="62" t="n"/>
      <c r="AH209" s="60" t="n"/>
      <c r="AI209" s="61" t="n"/>
      <c r="AJ209" s="63">
        <f>IF($A209="","",IF(AF209="","Not Enrolled",IF(TODAY()&gt;AF209,"Review Overdue",IF(AF209-TODAY()&lt;=30,"Review Due Soon","Active"))))</f>
        <v/>
      </c>
      <c r="AK209" s="63">
        <f>IF($A209="","",IF(AG209="","NOT REVIEWED",IF(TODAY()-AG209&gt;90,"OVERDUE",IF(TODAY()-AG209&gt;76,"Due Soon","Current"))))</f>
        <v/>
      </c>
    </row>
    <row r="210" ht="15" customHeight="1" s="39">
      <c r="A210" s="60" t="n"/>
      <c r="B210" s="60" t="n"/>
      <c r="C210" s="61" t="n"/>
      <c r="D210" s="61" t="n"/>
      <c r="E210" s="60" t="n"/>
      <c r="F210" s="60" t="n"/>
      <c r="G210" s="62" t="n"/>
      <c r="H210" s="62" t="n"/>
      <c r="I210" s="62" t="n"/>
      <c r="J210" s="60" t="n"/>
      <c r="K210" s="60" t="n"/>
      <c r="L210" s="60" t="n"/>
      <c r="M210" s="61" t="n"/>
      <c r="N210" s="60" t="n"/>
      <c r="O210" s="60" t="n"/>
      <c r="P210" s="60" t="n"/>
      <c r="Q210" s="60" t="n"/>
      <c r="R210" s="60" t="n"/>
      <c r="S210" s="60" t="n"/>
      <c r="T210" s="60" t="n"/>
      <c r="U210" s="60" t="n"/>
      <c r="V210" s="60" t="n"/>
      <c r="W210" s="60" t="n"/>
      <c r="X210" s="60" t="n"/>
      <c r="Y210" s="63">
        <f>IF($H210="","",TODAY()-$H210)</f>
        <v/>
      </c>
      <c r="Z210" s="63">
        <f>IF($A210="","",IF(AND($F210="Yes",OR($U210="No",$U210="NOT FOUND")),"YES",""))</f>
        <v/>
      </c>
      <c r="AA210" s="66">
        <f>IF($A210="","",TRIM(IF(AND($P210=0,$L210&lt;&gt;"Yes"),"T0-NoSmartcard ","")&amp;IF(AND($J210&lt;&gt;"",$J210&gt;365),"StalePwd ","")&amp;IF($K210="Yes","PwdNeverExpires ","")&amp;IF(AND($S210&lt;&gt;"",$S210&lt;&gt;"None"),"Delegation ","")&amp;IF(AND($Q210=1,$O210="None"),"StaleAdminCount ","")&amp;IF(AND($F210="Yes",$H210=""),"NeverLoggedOn ","")))</f>
        <v/>
      </c>
      <c r="AB210" s="60" t="n"/>
      <c r="AC210" s="61" t="n"/>
      <c r="AD210" s="60" t="n"/>
      <c r="AE210" s="62" t="n"/>
      <c r="AF210" s="62" t="n"/>
      <c r="AG210" s="62" t="n"/>
      <c r="AH210" s="60" t="n"/>
      <c r="AI210" s="61" t="n"/>
      <c r="AJ210" s="63">
        <f>IF($A210="","",IF(AF210="","Not Enrolled",IF(TODAY()&gt;AF210,"Review Overdue",IF(AF210-TODAY()&lt;=30,"Review Due Soon","Active"))))</f>
        <v/>
      </c>
      <c r="AK210" s="63">
        <f>IF($A210="","",IF(AG210="","NOT REVIEWED",IF(TODAY()-AG210&gt;90,"OVERDUE",IF(TODAY()-AG210&gt;76,"Due Soon","Current"))))</f>
        <v/>
      </c>
    </row>
    <row r="211" ht="15" customHeight="1" s="39">
      <c r="A211" s="60" t="n"/>
      <c r="B211" s="60" t="n"/>
      <c r="C211" s="61" t="n"/>
      <c r="D211" s="61" t="n"/>
      <c r="E211" s="60" t="n"/>
      <c r="F211" s="60" t="n"/>
      <c r="G211" s="62" t="n"/>
      <c r="H211" s="62" t="n"/>
      <c r="I211" s="62" t="n"/>
      <c r="J211" s="60" t="n"/>
      <c r="K211" s="60" t="n"/>
      <c r="L211" s="60" t="n"/>
      <c r="M211" s="61" t="n"/>
      <c r="N211" s="60" t="n"/>
      <c r="O211" s="60" t="n"/>
      <c r="P211" s="60" t="n"/>
      <c r="Q211" s="60" t="n"/>
      <c r="R211" s="60" t="n"/>
      <c r="S211" s="60" t="n"/>
      <c r="T211" s="60" t="n"/>
      <c r="U211" s="60" t="n"/>
      <c r="V211" s="60" t="n"/>
      <c r="W211" s="60" t="n"/>
      <c r="X211" s="60" t="n"/>
      <c r="Y211" s="63">
        <f>IF($H211="","",TODAY()-$H211)</f>
        <v/>
      </c>
      <c r="Z211" s="63">
        <f>IF($A211="","",IF(AND($F211="Yes",OR($U211="No",$U211="NOT FOUND")),"YES",""))</f>
        <v/>
      </c>
      <c r="AA211" s="66">
        <f>IF($A211="","",TRIM(IF(AND($P211=0,$L211&lt;&gt;"Yes"),"T0-NoSmartcard ","")&amp;IF(AND($J211&lt;&gt;"",$J211&gt;365),"StalePwd ","")&amp;IF($K211="Yes","PwdNeverExpires ","")&amp;IF(AND($S211&lt;&gt;"",$S211&lt;&gt;"None"),"Delegation ","")&amp;IF(AND($Q211=1,$O211="None"),"StaleAdminCount ","")&amp;IF(AND($F211="Yes",$H211=""),"NeverLoggedOn ","")))</f>
        <v/>
      </c>
      <c r="AB211" s="60" t="n"/>
      <c r="AC211" s="61" t="n"/>
      <c r="AD211" s="60" t="n"/>
      <c r="AE211" s="62" t="n"/>
      <c r="AF211" s="62" t="n"/>
      <c r="AG211" s="62" t="n"/>
      <c r="AH211" s="60" t="n"/>
      <c r="AI211" s="61" t="n"/>
      <c r="AJ211" s="63">
        <f>IF($A211="","",IF(AF211="","Not Enrolled",IF(TODAY()&gt;AF211,"Review Overdue",IF(AF211-TODAY()&lt;=30,"Review Due Soon","Active"))))</f>
        <v/>
      </c>
      <c r="AK211" s="63">
        <f>IF($A211="","",IF(AG211="","NOT REVIEWED",IF(TODAY()-AG211&gt;90,"OVERDUE",IF(TODAY()-AG211&gt;76,"Due Soon","Current"))))</f>
        <v/>
      </c>
    </row>
    <row r="212" ht="15" customHeight="1" s="39">
      <c r="A212" s="60" t="n"/>
      <c r="B212" s="60" t="n"/>
      <c r="C212" s="61" t="n"/>
      <c r="D212" s="61" t="n"/>
      <c r="E212" s="60" t="n"/>
      <c r="F212" s="60" t="n"/>
      <c r="G212" s="62" t="n"/>
      <c r="H212" s="62" t="n"/>
      <c r="I212" s="62" t="n"/>
      <c r="J212" s="60" t="n"/>
      <c r="K212" s="60" t="n"/>
      <c r="L212" s="60" t="n"/>
      <c r="M212" s="61" t="n"/>
      <c r="N212" s="60" t="n"/>
      <c r="O212" s="60" t="n"/>
      <c r="P212" s="60" t="n"/>
      <c r="Q212" s="60" t="n"/>
      <c r="R212" s="60" t="n"/>
      <c r="S212" s="60" t="n"/>
      <c r="T212" s="60" t="n"/>
      <c r="U212" s="60" t="n"/>
      <c r="V212" s="60" t="n"/>
      <c r="W212" s="60" t="n"/>
      <c r="X212" s="60" t="n"/>
      <c r="Y212" s="63">
        <f>IF($H212="","",TODAY()-$H212)</f>
        <v/>
      </c>
      <c r="Z212" s="63">
        <f>IF($A212="","",IF(AND($F212="Yes",OR($U212="No",$U212="NOT FOUND")),"YES",""))</f>
        <v/>
      </c>
      <c r="AA212" s="66">
        <f>IF($A212="","",TRIM(IF(AND($P212=0,$L212&lt;&gt;"Yes"),"T0-NoSmartcard ","")&amp;IF(AND($J212&lt;&gt;"",$J212&gt;365),"StalePwd ","")&amp;IF($K212="Yes","PwdNeverExpires ","")&amp;IF(AND($S212&lt;&gt;"",$S212&lt;&gt;"None"),"Delegation ","")&amp;IF(AND($Q212=1,$O212="None"),"StaleAdminCount ","")&amp;IF(AND($F212="Yes",$H212=""),"NeverLoggedOn ","")))</f>
        <v/>
      </c>
      <c r="AB212" s="60" t="n"/>
      <c r="AC212" s="61" t="n"/>
      <c r="AD212" s="60" t="n"/>
      <c r="AE212" s="62" t="n"/>
      <c r="AF212" s="62" t="n"/>
      <c r="AG212" s="62" t="n"/>
      <c r="AH212" s="60" t="n"/>
      <c r="AI212" s="61" t="n"/>
      <c r="AJ212" s="63">
        <f>IF($A212="","",IF(AF212="","Not Enrolled",IF(TODAY()&gt;AF212,"Review Overdue",IF(AF212-TODAY()&lt;=30,"Review Due Soon","Active"))))</f>
        <v/>
      </c>
      <c r="AK212" s="63">
        <f>IF($A212="","",IF(AG212="","NOT REVIEWED",IF(TODAY()-AG212&gt;90,"OVERDUE",IF(TODAY()-AG212&gt;76,"Due Soon","Current"))))</f>
        <v/>
      </c>
    </row>
    <row r="213" ht="15" customHeight="1" s="39">
      <c r="A213" s="60" t="n"/>
      <c r="B213" s="60" t="n"/>
      <c r="C213" s="61" t="n"/>
      <c r="D213" s="61" t="n"/>
      <c r="E213" s="60" t="n"/>
      <c r="F213" s="60" t="n"/>
      <c r="G213" s="62" t="n"/>
      <c r="H213" s="62" t="n"/>
      <c r="I213" s="62" t="n"/>
      <c r="J213" s="60" t="n"/>
      <c r="K213" s="60" t="n"/>
      <c r="L213" s="60" t="n"/>
      <c r="M213" s="61" t="n"/>
      <c r="N213" s="60" t="n"/>
      <c r="O213" s="60" t="n"/>
      <c r="P213" s="60" t="n"/>
      <c r="Q213" s="60" t="n"/>
      <c r="R213" s="60" t="n"/>
      <c r="S213" s="60" t="n"/>
      <c r="T213" s="60" t="n"/>
      <c r="U213" s="60" t="n"/>
      <c r="V213" s="60" t="n"/>
      <c r="W213" s="60" t="n"/>
      <c r="X213" s="60" t="n"/>
      <c r="Y213" s="63">
        <f>IF($H213="","",TODAY()-$H213)</f>
        <v/>
      </c>
      <c r="Z213" s="63">
        <f>IF($A213="","",IF(AND($F213="Yes",OR($U213="No",$U213="NOT FOUND")),"YES",""))</f>
        <v/>
      </c>
      <c r="AA213" s="66">
        <f>IF($A213="","",TRIM(IF(AND($P213=0,$L213&lt;&gt;"Yes"),"T0-NoSmartcard ","")&amp;IF(AND($J213&lt;&gt;"",$J213&gt;365),"StalePwd ","")&amp;IF($K213="Yes","PwdNeverExpires ","")&amp;IF(AND($S213&lt;&gt;"",$S213&lt;&gt;"None"),"Delegation ","")&amp;IF(AND($Q213=1,$O213="None"),"StaleAdminCount ","")&amp;IF(AND($F213="Yes",$H213=""),"NeverLoggedOn ","")))</f>
        <v/>
      </c>
      <c r="AB213" s="60" t="n"/>
      <c r="AC213" s="61" t="n"/>
      <c r="AD213" s="60" t="n"/>
      <c r="AE213" s="62" t="n"/>
      <c r="AF213" s="62" t="n"/>
      <c r="AG213" s="62" t="n"/>
      <c r="AH213" s="60" t="n"/>
      <c r="AI213" s="61" t="n"/>
      <c r="AJ213" s="63">
        <f>IF($A213="","",IF(AF213="","Not Enrolled",IF(TODAY()&gt;AF213,"Review Overdue",IF(AF213-TODAY()&lt;=30,"Review Due Soon","Active"))))</f>
        <v/>
      </c>
      <c r="AK213" s="63">
        <f>IF($A213="","",IF(AG213="","NOT REVIEWED",IF(TODAY()-AG213&gt;90,"OVERDUE",IF(TODAY()-AG213&gt;76,"Due Soon","Current"))))</f>
        <v/>
      </c>
    </row>
    <row r="214" ht="15" customHeight="1" s="39">
      <c r="A214" s="60" t="n"/>
      <c r="B214" s="60" t="n"/>
      <c r="C214" s="61" t="n"/>
      <c r="D214" s="61" t="n"/>
      <c r="E214" s="60" t="n"/>
      <c r="F214" s="60" t="n"/>
      <c r="G214" s="62" t="n"/>
      <c r="H214" s="62" t="n"/>
      <c r="I214" s="62" t="n"/>
      <c r="J214" s="60" t="n"/>
      <c r="K214" s="60" t="n"/>
      <c r="L214" s="60" t="n"/>
      <c r="M214" s="61" t="n"/>
      <c r="N214" s="60" t="n"/>
      <c r="O214" s="60" t="n"/>
      <c r="P214" s="60" t="n"/>
      <c r="Q214" s="60" t="n"/>
      <c r="R214" s="60" t="n"/>
      <c r="S214" s="60" t="n"/>
      <c r="T214" s="60" t="n"/>
      <c r="U214" s="60" t="n"/>
      <c r="V214" s="60" t="n"/>
      <c r="W214" s="60" t="n"/>
      <c r="X214" s="60" t="n"/>
      <c r="Y214" s="63">
        <f>IF($H214="","",TODAY()-$H214)</f>
        <v/>
      </c>
      <c r="Z214" s="63">
        <f>IF($A214="","",IF(AND($F214="Yes",OR($U214="No",$U214="NOT FOUND")),"YES",""))</f>
        <v/>
      </c>
      <c r="AA214" s="66">
        <f>IF($A214="","",TRIM(IF(AND($P214=0,$L214&lt;&gt;"Yes"),"T0-NoSmartcard ","")&amp;IF(AND($J214&lt;&gt;"",$J214&gt;365),"StalePwd ","")&amp;IF($K214="Yes","PwdNeverExpires ","")&amp;IF(AND($S214&lt;&gt;"",$S214&lt;&gt;"None"),"Delegation ","")&amp;IF(AND($Q214=1,$O214="None"),"StaleAdminCount ","")&amp;IF(AND($F214="Yes",$H214=""),"NeverLoggedOn ","")))</f>
        <v/>
      </c>
      <c r="AB214" s="60" t="n"/>
      <c r="AC214" s="61" t="n"/>
      <c r="AD214" s="60" t="n"/>
      <c r="AE214" s="62" t="n"/>
      <c r="AF214" s="62" t="n"/>
      <c r="AG214" s="62" t="n"/>
      <c r="AH214" s="60" t="n"/>
      <c r="AI214" s="61" t="n"/>
      <c r="AJ214" s="63">
        <f>IF($A214="","",IF(AF214="","Not Enrolled",IF(TODAY()&gt;AF214,"Review Overdue",IF(AF214-TODAY()&lt;=30,"Review Due Soon","Active"))))</f>
        <v/>
      </c>
      <c r="AK214" s="63">
        <f>IF($A214="","",IF(AG214="","NOT REVIEWED",IF(TODAY()-AG214&gt;90,"OVERDUE",IF(TODAY()-AG214&gt;76,"Due Soon","Current"))))</f>
        <v/>
      </c>
    </row>
    <row r="215" ht="15" customHeight="1" s="39">
      <c r="A215" s="60" t="n"/>
      <c r="B215" s="60" t="n"/>
      <c r="C215" s="61" t="n"/>
      <c r="D215" s="61" t="n"/>
      <c r="E215" s="60" t="n"/>
      <c r="F215" s="60" t="n"/>
      <c r="G215" s="62" t="n"/>
      <c r="H215" s="62" t="n"/>
      <c r="I215" s="62" t="n"/>
      <c r="J215" s="60" t="n"/>
      <c r="K215" s="60" t="n"/>
      <c r="L215" s="60" t="n"/>
      <c r="M215" s="61" t="n"/>
      <c r="N215" s="60" t="n"/>
      <c r="O215" s="60" t="n"/>
      <c r="P215" s="60" t="n"/>
      <c r="Q215" s="60" t="n"/>
      <c r="R215" s="60" t="n"/>
      <c r="S215" s="60" t="n"/>
      <c r="T215" s="60" t="n"/>
      <c r="U215" s="60" t="n"/>
      <c r="V215" s="60" t="n"/>
      <c r="W215" s="60" t="n"/>
      <c r="X215" s="60" t="n"/>
      <c r="Y215" s="63">
        <f>IF($H215="","",TODAY()-$H215)</f>
        <v/>
      </c>
      <c r="Z215" s="63">
        <f>IF($A215="","",IF(AND($F215="Yes",OR($U215="No",$U215="NOT FOUND")),"YES",""))</f>
        <v/>
      </c>
      <c r="AA215" s="66">
        <f>IF($A215="","",TRIM(IF(AND($P215=0,$L215&lt;&gt;"Yes"),"T0-NoSmartcard ","")&amp;IF(AND($J215&lt;&gt;"",$J215&gt;365),"StalePwd ","")&amp;IF($K215="Yes","PwdNeverExpires ","")&amp;IF(AND($S215&lt;&gt;"",$S215&lt;&gt;"None"),"Delegation ","")&amp;IF(AND($Q215=1,$O215="None"),"StaleAdminCount ","")&amp;IF(AND($F215="Yes",$H215=""),"NeverLoggedOn ","")))</f>
        <v/>
      </c>
      <c r="AB215" s="60" t="n"/>
      <c r="AC215" s="61" t="n"/>
      <c r="AD215" s="60" t="n"/>
      <c r="AE215" s="62" t="n"/>
      <c r="AF215" s="62" t="n"/>
      <c r="AG215" s="62" t="n"/>
      <c r="AH215" s="60" t="n"/>
      <c r="AI215" s="61" t="n"/>
      <c r="AJ215" s="63">
        <f>IF($A215="","",IF(AF215="","Not Enrolled",IF(TODAY()&gt;AF215,"Review Overdue",IF(AF215-TODAY()&lt;=30,"Review Due Soon","Active"))))</f>
        <v/>
      </c>
      <c r="AK215" s="63">
        <f>IF($A215="","",IF(AG215="","NOT REVIEWED",IF(TODAY()-AG215&gt;90,"OVERDUE",IF(TODAY()-AG215&gt;76,"Due Soon","Current"))))</f>
        <v/>
      </c>
    </row>
    <row r="216" ht="15" customHeight="1" s="39">
      <c r="A216" s="60" t="n"/>
      <c r="B216" s="60" t="n"/>
      <c r="C216" s="61" t="n"/>
      <c r="D216" s="61" t="n"/>
      <c r="E216" s="60" t="n"/>
      <c r="F216" s="60" t="n"/>
      <c r="G216" s="62" t="n"/>
      <c r="H216" s="62" t="n"/>
      <c r="I216" s="62" t="n"/>
      <c r="J216" s="60" t="n"/>
      <c r="K216" s="60" t="n"/>
      <c r="L216" s="60" t="n"/>
      <c r="M216" s="61" t="n"/>
      <c r="N216" s="60" t="n"/>
      <c r="O216" s="60" t="n"/>
      <c r="P216" s="60" t="n"/>
      <c r="Q216" s="60" t="n"/>
      <c r="R216" s="60" t="n"/>
      <c r="S216" s="60" t="n"/>
      <c r="T216" s="60" t="n"/>
      <c r="U216" s="60" t="n"/>
      <c r="V216" s="60" t="n"/>
      <c r="W216" s="60" t="n"/>
      <c r="X216" s="60" t="n"/>
      <c r="Y216" s="63">
        <f>IF($H216="","",TODAY()-$H216)</f>
        <v/>
      </c>
      <c r="Z216" s="63">
        <f>IF($A216="","",IF(AND($F216="Yes",OR($U216="No",$U216="NOT FOUND")),"YES",""))</f>
        <v/>
      </c>
      <c r="AA216" s="66">
        <f>IF($A216="","",TRIM(IF(AND($P216=0,$L216&lt;&gt;"Yes"),"T0-NoSmartcard ","")&amp;IF(AND($J216&lt;&gt;"",$J216&gt;365),"StalePwd ","")&amp;IF($K216="Yes","PwdNeverExpires ","")&amp;IF(AND($S216&lt;&gt;"",$S216&lt;&gt;"None"),"Delegation ","")&amp;IF(AND($Q216=1,$O216="None"),"StaleAdminCount ","")&amp;IF(AND($F216="Yes",$H216=""),"NeverLoggedOn ","")))</f>
        <v/>
      </c>
      <c r="AB216" s="60" t="n"/>
      <c r="AC216" s="61" t="n"/>
      <c r="AD216" s="60" t="n"/>
      <c r="AE216" s="62" t="n"/>
      <c r="AF216" s="62" t="n"/>
      <c r="AG216" s="62" t="n"/>
      <c r="AH216" s="60" t="n"/>
      <c r="AI216" s="61" t="n"/>
      <c r="AJ216" s="63">
        <f>IF($A216="","",IF(AF216="","Not Enrolled",IF(TODAY()&gt;AF216,"Review Overdue",IF(AF216-TODAY()&lt;=30,"Review Due Soon","Active"))))</f>
        <v/>
      </c>
      <c r="AK216" s="63">
        <f>IF($A216="","",IF(AG216="","NOT REVIEWED",IF(TODAY()-AG216&gt;90,"OVERDUE",IF(TODAY()-AG216&gt;76,"Due Soon","Current"))))</f>
        <v/>
      </c>
    </row>
    <row r="217" ht="15" customHeight="1" s="39">
      <c r="A217" s="60" t="n"/>
      <c r="B217" s="60" t="n"/>
      <c r="C217" s="61" t="n"/>
      <c r="D217" s="61" t="n"/>
      <c r="E217" s="60" t="n"/>
      <c r="F217" s="60" t="n"/>
      <c r="G217" s="62" t="n"/>
      <c r="H217" s="62" t="n"/>
      <c r="I217" s="62" t="n"/>
      <c r="J217" s="60" t="n"/>
      <c r="K217" s="60" t="n"/>
      <c r="L217" s="60" t="n"/>
      <c r="M217" s="61" t="n"/>
      <c r="N217" s="60" t="n"/>
      <c r="O217" s="60" t="n"/>
      <c r="P217" s="60" t="n"/>
      <c r="Q217" s="60" t="n"/>
      <c r="R217" s="60" t="n"/>
      <c r="S217" s="60" t="n"/>
      <c r="T217" s="60" t="n"/>
      <c r="U217" s="60" t="n"/>
      <c r="V217" s="60" t="n"/>
      <c r="W217" s="60" t="n"/>
      <c r="X217" s="60" t="n"/>
      <c r="Y217" s="63">
        <f>IF($H217="","",TODAY()-$H217)</f>
        <v/>
      </c>
      <c r="Z217" s="63">
        <f>IF($A217="","",IF(AND($F217="Yes",OR($U217="No",$U217="NOT FOUND")),"YES",""))</f>
        <v/>
      </c>
      <c r="AA217" s="66">
        <f>IF($A217="","",TRIM(IF(AND($P217=0,$L217&lt;&gt;"Yes"),"T0-NoSmartcard ","")&amp;IF(AND($J217&lt;&gt;"",$J217&gt;365),"StalePwd ","")&amp;IF($K217="Yes","PwdNeverExpires ","")&amp;IF(AND($S217&lt;&gt;"",$S217&lt;&gt;"None"),"Delegation ","")&amp;IF(AND($Q217=1,$O217="None"),"StaleAdminCount ","")&amp;IF(AND($F217="Yes",$H217=""),"NeverLoggedOn ","")))</f>
        <v/>
      </c>
      <c r="AB217" s="60" t="n"/>
      <c r="AC217" s="61" t="n"/>
      <c r="AD217" s="60" t="n"/>
      <c r="AE217" s="62" t="n"/>
      <c r="AF217" s="62" t="n"/>
      <c r="AG217" s="62" t="n"/>
      <c r="AH217" s="60" t="n"/>
      <c r="AI217" s="61" t="n"/>
      <c r="AJ217" s="63">
        <f>IF($A217="","",IF(AF217="","Not Enrolled",IF(TODAY()&gt;AF217,"Review Overdue",IF(AF217-TODAY()&lt;=30,"Review Due Soon","Active"))))</f>
        <v/>
      </c>
      <c r="AK217" s="63">
        <f>IF($A217="","",IF(AG217="","NOT REVIEWED",IF(TODAY()-AG217&gt;90,"OVERDUE",IF(TODAY()-AG217&gt;76,"Due Soon","Current"))))</f>
        <v/>
      </c>
    </row>
    <row r="218" ht="15" customHeight="1" s="39">
      <c r="A218" s="60" t="n"/>
      <c r="B218" s="60" t="n"/>
      <c r="C218" s="61" t="n"/>
      <c r="D218" s="61" t="n"/>
      <c r="E218" s="60" t="n"/>
      <c r="F218" s="60" t="n"/>
      <c r="G218" s="62" t="n"/>
      <c r="H218" s="62" t="n"/>
      <c r="I218" s="62" t="n"/>
      <c r="J218" s="60" t="n"/>
      <c r="K218" s="60" t="n"/>
      <c r="L218" s="60" t="n"/>
      <c r="M218" s="61" t="n"/>
      <c r="N218" s="60" t="n"/>
      <c r="O218" s="60" t="n"/>
      <c r="P218" s="60" t="n"/>
      <c r="Q218" s="60" t="n"/>
      <c r="R218" s="60" t="n"/>
      <c r="S218" s="60" t="n"/>
      <c r="T218" s="60" t="n"/>
      <c r="U218" s="60" t="n"/>
      <c r="V218" s="60" t="n"/>
      <c r="W218" s="60" t="n"/>
      <c r="X218" s="60" t="n"/>
      <c r="Y218" s="63">
        <f>IF($H218="","",TODAY()-$H218)</f>
        <v/>
      </c>
      <c r="Z218" s="63">
        <f>IF($A218="","",IF(AND($F218="Yes",OR($U218="No",$U218="NOT FOUND")),"YES",""))</f>
        <v/>
      </c>
      <c r="AA218" s="66">
        <f>IF($A218="","",TRIM(IF(AND($P218=0,$L218&lt;&gt;"Yes"),"T0-NoSmartcard ","")&amp;IF(AND($J218&lt;&gt;"",$J218&gt;365),"StalePwd ","")&amp;IF($K218="Yes","PwdNeverExpires ","")&amp;IF(AND($S218&lt;&gt;"",$S218&lt;&gt;"None"),"Delegation ","")&amp;IF(AND($Q218=1,$O218="None"),"StaleAdminCount ","")&amp;IF(AND($F218="Yes",$H218=""),"NeverLoggedOn ","")))</f>
        <v/>
      </c>
      <c r="AB218" s="60" t="n"/>
      <c r="AC218" s="61" t="n"/>
      <c r="AD218" s="60" t="n"/>
      <c r="AE218" s="62" t="n"/>
      <c r="AF218" s="62" t="n"/>
      <c r="AG218" s="62" t="n"/>
      <c r="AH218" s="60" t="n"/>
      <c r="AI218" s="61" t="n"/>
      <c r="AJ218" s="63">
        <f>IF($A218="","",IF(AF218="","Not Enrolled",IF(TODAY()&gt;AF218,"Review Overdue",IF(AF218-TODAY()&lt;=30,"Review Due Soon","Active"))))</f>
        <v/>
      </c>
      <c r="AK218" s="63">
        <f>IF($A218="","",IF(AG218="","NOT REVIEWED",IF(TODAY()-AG218&gt;90,"OVERDUE",IF(TODAY()-AG218&gt;76,"Due Soon","Current"))))</f>
        <v/>
      </c>
    </row>
    <row r="219" ht="15" customHeight="1" s="39">
      <c r="A219" s="60" t="n"/>
      <c r="B219" s="60" t="n"/>
      <c r="C219" s="61" t="n"/>
      <c r="D219" s="61" t="n"/>
      <c r="E219" s="60" t="n"/>
      <c r="F219" s="60" t="n"/>
      <c r="G219" s="62" t="n"/>
      <c r="H219" s="62" t="n"/>
      <c r="I219" s="62" t="n"/>
      <c r="J219" s="60" t="n"/>
      <c r="K219" s="60" t="n"/>
      <c r="L219" s="60" t="n"/>
      <c r="M219" s="61" t="n"/>
      <c r="N219" s="60" t="n"/>
      <c r="O219" s="60" t="n"/>
      <c r="P219" s="60" t="n"/>
      <c r="Q219" s="60" t="n"/>
      <c r="R219" s="60" t="n"/>
      <c r="S219" s="60" t="n"/>
      <c r="T219" s="60" t="n"/>
      <c r="U219" s="60" t="n"/>
      <c r="V219" s="60" t="n"/>
      <c r="W219" s="60" t="n"/>
      <c r="X219" s="60" t="n"/>
      <c r="Y219" s="63">
        <f>IF($H219="","",TODAY()-$H219)</f>
        <v/>
      </c>
      <c r="Z219" s="63">
        <f>IF($A219="","",IF(AND($F219="Yes",OR($U219="No",$U219="NOT FOUND")),"YES",""))</f>
        <v/>
      </c>
      <c r="AA219" s="66">
        <f>IF($A219="","",TRIM(IF(AND($P219=0,$L219&lt;&gt;"Yes"),"T0-NoSmartcard ","")&amp;IF(AND($J219&lt;&gt;"",$J219&gt;365),"StalePwd ","")&amp;IF($K219="Yes","PwdNeverExpires ","")&amp;IF(AND($S219&lt;&gt;"",$S219&lt;&gt;"None"),"Delegation ","")&amp;IF(AND($Q219=1,$O219="None"),"StaleAdminCount ","")&amp;IF(AND($F219="Yes",$H219=""),"NeverLoggedOn ","")))</f>
        <v/>
      </c>
      <c r="AB219" s="60" t="n"/>
      <c r="AC219" s="61" t="n"/>
      <c r="AD219" s="60" t="n"/>
      <c r="AE219" s="62" t="n"/>
      <c r="AF219" s="62" t="n"/>
      <c r="AG219" s="62" t="n"/>
      <c r="AH219" s="60" t="n"/>
      <c r="AI219" s="61" t="n"/>
      <c r="AJ219" s="63">
        <f>IF($A219="","",IF(AF219="","Not Enrolled",IF(TODAY()&gt;AF219,"Review Overdue",IF(AF219-TODAY()&lt;=30,"Review Due Soon","Active"))))</f>
        <v/>
      </c>
      <c r="AK219" s="63">
        <f>IF($A219="","",IF(AG219="","NOT REVIEWED",IF(TODAY()-AG219&gt;90,"OVERDUE",IF(TODAY()-AG219&gt;76,"Due Soon","Current"))))</f>
        <v/>
      </c>
    </row>
    <row r="220" ht="15" customHeight="1" s="39">
      <c r="A220" s="60" t="n"/>
      <c r="B220" s="60" t="n"/>
      <c r="C220" s="61" t="n"/>
      <c r="D220" s="61" t="n"/>
      <c r="E220" s="60" t="n"/>
      <c r="F220" s="60" t="n"/>
      <c r="G220" s="62" t="n"/>
      <c r="H220" s="62" t="n"/>
      <c r="I220" s="62" t="n"/>
      <c r="J220" s="60" t="n"/>
      <c r="K220" s="60" t="n"/>
      <c r="L220" s="60" t="n"/>
      <c r="M220" s="61" t="n"/>
      <c r="N220" s="60" t="n"/>
      <c r="O220" s="60" t="n"/>
      <c r="P220" s="60" t="n"/>
      <c r="Q220" s="60" t="n"/>
      <c r="R220" s="60" t="n"/>
      <c r="S220" s="60" t="n"/>
      <c r="T220" s="60" t="n"/>
      <c r="U220" s="60" t="n"/>
      <c r="V220" s="60" t="n"/>
      <c r="W220" s="60" t="n"/>
      <c r="X220" s="60" t="n"/>
      <c r="Y220" s="63">
        <f>IF($H220="","",TODAY()-$H220)</f>
        <v/>
      </c>
      <c r="Z220" s="63">
        <f>IF($A220="","",IF(AND($F220="Yes",OR($U220="No",$U220="NOT FOUND")),"YES",""))</f>
        <v/>
      </c>
      <c r="AA220" s="66">
        <f>IF($A220="","",TRIM(IF(AND($P220=0,$L220&lt;&gt;"Yes"),"T0-NoSmartcard ","")&amp;IF(AND($J220&lt;&gt;"",$J220&gt;365),"StalePwd ","")&amp;IF($K220="Yes","PwdNeverExpires ","")&amp;IF(AND($S220&lt;&gt;"",$S220&lt;&gt;"None"),"Delegation ","")&amp;IF(AND($Q220=1,$O220="None"),"StaleAdminCount ","")&amp;IF(AND($F220="Yes",$H220=""),"NeverLoggedOn ","")))</f>
        <v/>
      </c>
      <c r="AB220" s="60" t="n"/>
      <c r="AC220" s="61" t="n"/>
      <c r="AD220" s="60" t="n"/>
      <c r="AE220" s="62" t="n"/>
      <c r="AF220" s="62" t="n"/>
      <c r="AG220" s="62" t="n"/>
      <c r="AH220" s="60" t="n"/>
      <c r="AI220" s="61" t="n"/>
      <c r="AJ220" s="63">
        <f>IF($A220="","",IF(AF220="","Not Enrolled",IF(TODAY()&gt;AF220,"Review Overdue",IF(AF220-TODAY()&lt;=30,"Review Due Soon","Active"))))</f>
        <v/>
      </c>
      <c r="AK220" s="63">
        <f>IF($A220="","",IF(AG220="","NOT REVIEWED",IF(TODAY()-AG220&gt;90,"OVERDUE",IF(TODAY()-AG220&gt;76,"Due Soon","Current"))))</f>
        <v/>
      </c>
    </row>
    <row r="221" ht="15" customHeight="1" s="39">
      <c r="A221" s="60" t="n"/>
      <c r="B221" s="60" t="n"/>
      <c r="C221" s="61" t="n"/>
      <c r="D221" s="61" t="n"/>
      <c r="E221" s="60" t="n"/>
      <c r="F221" s="60" t="n"/>
      <c r="G221" s="62" t="n"/>
      <c r="H221" s="62" t="n"/>
      <c r="I221" s="62" t="n"/>
      <c r="J221" s="60" t="n"/>
      <c r="K221" s="60" t="n"/>
      <c r="L221" s="60" t="n"/>
      <c r="M221" s="61" t="n"/>
      <c r="N221" s="60" t="n"/>
      <c r="O221" s="60" t="n"/>
      <c r="P221" s="60" t="n"/>
      <c r="Q221" s="60" t="n"/>
      <c r="R221" s="60" t="n"/>
      <c r="S221" s="60" t="n"/>
      <c r="T221" s="60" t="n"/>
      <c r="U221" s="60" t="n"/>
      <c r="V221" s="60" t="n"/>
      <c r="W221" s="60" t="n"/>
      <c r="X221" s="60" t="n"/>
      <c r="Y221" s="63">
        <f>IF($H221="","",TODAY()-$H221)</f>
        <v/>
      </c>
      <c r="Z221" s="63">
        <f>IF($A221="","",IF(AND($F221="Yes",OR($U221="No",$U221="NOT FOUND")),"YES",""))</f>
        <v/>
      </c>
      <c r="AA221" s="66">
        <f>IF($A221="","",TRIM(IF(AND($P221=0,$L221&lt;&gt;"Yes"),"T0-NoSmartcard ","")&amp;IF(AND($J221&lt;&gt;"",$J221&gt;365),"StalePwd ","")&amp;IF($K221="Yes","PwdNeverExpires ","")&amp;IF(AND($S221&lt;&gt;"",$S221&lt;&gt;"None"),"Delegation ","")&amp;IF(AND($Q221=1,$O221="None"),"StaleAdminCount ","")&amp;IF(AND($F221="Yes",$H221=""),"NeverLoggedOn ","")))</f>
        <v/>
      </c>
      <c r="AB221" s="60" t="n"/>
      <c r="AC221" s="61" t="n"/>
      <c r="AD221" s="60" t="n"/>
      <c r="AE221" s="62" t="n"/>
      <c r="AF221" s="62" t="n"/>
      <c r="AG221" s="62" t="n"/>
      <c r="AH221" s="60" t="n"/>
      <c r="AI221" s="61" t="n"/>
      <c r="AJ221" s="63">
        <f>IF($A221="","",IF(AF221="","Not Enrolled",IF(TODAY()&gt;AF221,"Review Overdue",IF(AF221-TODAY()&lt;=30,"Review Due Soon","Active"))))</f>
        <v/>
      </c>
      <c r="AK221" s="63">
        <f>IF($A221="","",IF(AG221="","NOT REVIEWED",IF(TODAY()-AG221&gt;90,"OVERDUE",IF(TODAY()-AG221&gt;76,"Due Soon","Current"))))</f>
        <v/>
      </c>
    </row>
    <row r="222" ht="15" customHeight="1" s="39">
      <c r="A222" s="60" t="n"/>
      <c r="B222" s="60" t="n"/>
      <c r="C222" s="61" t="n"/>
      <c r="D222" s="61" t="n"/>
      <c r="E222" s="60" t="n"/>
      <c r="F222" s="60" t="n"/>
      <c r="G222" s="62" t="n"/>
      <c r="H222" s="62" t="n"/>
      <c r="I222" s="62" t="n"/>
      <c r="J222" s="60" t="n"/>
      <c r="K222" s="60" t="n"/>
      <c r="L222" s="60" t="n"/>
      <c r="M222" s="61" t="n"/>
      <c r="N222" s="60" t="n"/>
      <c r="O222" s="60" t="n"/>
      <c r="P222" s="60" t="n"/>
      <c r="Q222" s="60" t="n"/>
      <c r="R222" s="60" t="n"/>
      <c r="S222" s="60" t="n"/>
      <c r="T222" s="60" t="n"/>
      <c r="U222" s="60" t="n"/>
      <c r="V222" s="60" t="n"/>
      <c r="W222" s="60" t="n"/>
      <c r="X222" s="60" t="n"/>
      <c r="Y222" s="63">
        <f>IF($H222="","",TODAY()-$H222)</f>
        <v/>
      </c>
      <c r="Z222" s="63">
        <f>IF($A222="","",IF(AND($F222="Yes",OR($U222="No",$U222="NOT FOUND")),"YES",""))</f>
        <v/>
      </c>
      <c r="AA222" s="66">
        <f>IF($A222="","",TRIM(IF(AND($P222=0,$L222&lt;&gt;"Yes"),"T0-NoSmartcard ","")&amp;IF(AND($J222&lt;&gt;"",$J222&gt;365),"StalePwd ","")&amp;IF($K222="Yes","PwdNeverExpires ","")&amp;IF(AND($S222&lt;&gt;"",$S222&lt;&gt;"None"),"Delegation ","")&amp;IF(AND($Q222=1,$O222="None"),"StaleAdminCount ","")&amp;IF(AND($F222="Yes",$H222=""),"NeverLoggedOn ","")))</f>
        <v/>
      </c>
      <c r="AB222" s="60" t="n"/>
      <c r="AC222" s="61" t="n"/>
      <c r="AD222" s="60" t="n"/>
      <c r="AE222" s="62" t="n"/>
      <c r="AF222" s="62" t="n"/>
      <c r="AG222" s="62" t="n"/>
      <c r="AH222" s="60" t="n"/>
      <c r="AI222" s="61" t="n"/>
      <c r="AJ222" s="63">
        <f>IF($A222="","",IF(AF222="","Not Enrolled",IF(TODAY()&gt;AF222,"Review Overdue",IF(AF222-TODAY()&lt;=30,"Review Due Soon","Active"))))</f>
        <v/>
      </c>
      <c r="AK222" s="63">
        <f>IF($A222="","",IF(AG222="","NOT REVIEWED",IF(TODAY()-AG222&gt;90,"OVERDUE",IF(TODAY()-AG222&gt;76,"Due Soon","Current"))))</f>
        <v/>
      </c>
    </row>
    <row r="223" ht="15" customHeight="1" s="39">
      <c r="A223" s="60" t="n"/>
      <c r="B223" s="60" t="n"/>
      <c r="C223" s="61" t="n"/>
      <c r="D223" s="61" t="n"/>
      <c r="E223" s="60" t="n"/>
      <c r="F223" s="60" t="n"/>
      <c r="G223" s="62" t="n"/>
      <c r="H223" s="62" t="n"/>
      <c r="I223" s="62" t="n"/>
      <c r="J223" s="60" t="n"/>
      <c r="K223" s="60" t="n"/>
      <c r="L223" s="60" t="n"/>
      <c r="M223" s="61" t="n"/>
      <c r="N223" s="60" t="n"/>
      <c r="O223" s="60" t="n"/>
      <c r="P223" s="60" t="n"/>
      <c r="Q223" s="60" t="n"/>
      <c r="R223" s="60" t="n"/>
      <c r="S223" s="60" t="n"/>
      <c r="T223" s="60" t="n"/>
      <c r="U223" s="60" t="n"/>
      <c r="V223" s="60" t="n"/>
      <c r="W223" s="60" t="n"/>
      <c r="X223" s="60" t="n"/>
      <c r="Y223" s="63">
        <f>IF($H223="","",TODAY()-$H223)</f>
        <v/>
      </c>
      <c r="Z223" s="63">
        <f>IF($A223="","",IF(AND($F223="Yes",OR($U223="No",$U223="NOT FOUND")),"YES",""))</f>
        <v/>
      </c>
      <c r="AA223" s="66">
        <f>IF($A223="","",TRIM(IF(AND($P223=0,$L223&lt;&gt;"Yes"),"T0-NoSmartcard ","")&amp;IF(AND($J223&lt;&gt;"",$J223&gt;365),"StalePwd ","")&amp;IF($K223="Yes","PwdNeverExpires ","")&amp;IF(AND($S223&lt;&gt;"",$S223&lt;&gt;"None"),"Delegation ","")&amp;IF(AND($Q223=1,$O223="None"),"StaleAdminCount ","")&amp;IF(AND($F223="Yes",$H223=""),"NeverLoggedOn ","")))</f>
        <v/>
      </c>
      <c r="AB223" s="60" t="n"/>
      <c r="AC223" s="61" t="n"/>
      <c r="AD223" s="60" t="n"/>
      <c r="AE223" s="62" t="n"/>
      <c r="AF223" s="62" t="n"/>
      <c r="AG223" s="62" t="n"/>
      <c r="AH223" s="60" t="n"/>
      <c r="AI223" s="61" t="n"/>
      <c r="AJ223" s="63">
        <f>IF($A223="","",IF(AF223="","Not Enrolled",IF(TODAY()&gt;AF223,"Review Overdue",IF(AF223-TODAY()&lt;=30,"Review Due Soon","Active"))))</f>
        <v/>
      </c>
      <c r="AK223" s="63">
        <f>IF($A223="","",IF(AG223="","NOT REVIEWED",IF(TODAY()-AG223&gt;90,"OVERDUE",IF(TODAY()-AG223&gt;76,"Due Soon","Current"))))</f>
        <v/>
      </c>
    </row>
    <row r="224" ht="15" customHeight="1" s="39">
      <c r="A224" s="60" t="n"/>
      <c r="B224" s="60" t="n"/>
      <c r="C224" s="61" t="n"/>
      <c r="D224" s="61" t="n"/>
      <c r="E224" s="60" t="n"/>
      <c r="F224" s="60" t="n"/>
      <c r="G224" s="62" t="n"/>
      <c r="H224" s="62" t="n"/>
      <c r="I224" s="62" t="n"/>
      <c r="J224" s="60" t="n"/>
      <c r="K224" s="60" t="n"/>
      <c r="L224" s="60" t="n"/>
      <c r="M224" s="61" t="n"/>
      <c r="N224" s="60" t="n"/>
      <c r="O224" s="60" t="n"/>
      <c r="P224" s="60" t="n"/>
      <c r="Q224" s="60" t="n"/>
      <c r="R224" s="60" t="n"/>
      <c r="S224" s="60" t="n"/>
      <c r="T224" s="60" t="n"/>
      <c r="U224" s="60" t="n"/>
      <c r="V224" s="60" t="n"/>
      <c r="W224" s="60" t="n"/>
      <c r="X224" s="60" t="n"/>
      <c r="Y224" s="63">
        <f>IF($H224="","",TODAY()-$H224)</f>
        <v/>
      </c>
      <c r="Z224" s="63">
        <f>IF($A224="","",IF(AND($F224="Yes",OR($U224="No",$U224="NOT FOUND")),"YES",""))</f>
        <v/>
      </c>
      <c r="AA224" s="66">
        <f>IF($A224="","",TRIM(IF(AND($P224=0,$L224&lt;&gt;"Yes"),"T0-NoSmartcard ","")&amp;IF(AND($J224&lt;&gt;"",$J224&gt;365),"StalePwd ","")&amp;IF($K224="Yes","PwdNeverExpires ","")&amp;IF(AND($S224&lt;&gt;"",$S224&lt;&gt;"None"),"Delegation ","")&amp;IF(AND($Q224=1,$O224="None"),"StaleAdminCount ","")&amp;IF(AND($F224="Yes",$H224=""),"NeverLoggedOn ","")))</f>
        <v/>
      </c>
      <c r="AB224" s="60" t="n"/>
      <c r="AC224" s="61" t="n"/>
      <c r="AD224" s="60" t="n"/>
      <c r="AE224" s="62" t="n"/>
      <c r="AF224" s="62" t="n"/>
      <c r="AG224" s="62" t="n"/>
      <c r="AH224" s="60" t="n"/>
      <c r="AI224" s="61" t="n"/>
      <c r="AJ224" s="63">
        <f>IF($A224="","",IF(AF224="","Not Enrolled",IF(TODAY()&gt;AF224,"Review Overdue",IF(AF224-TODAY()&lt;=30,"Review Due Soon","Active"))))</f>
        <v/>
      </c>
      <c r="AK224" s="63">
        <f>IF($A224="","",IF(AG224="","NOT REVIEWED",IF(TODAY()-AG224&gt;90,"OVERDUE",IF(TODAY()-AG224&gt;76,"Due Soon","Current"))))</f>
        <v/>
      </c>
    </row>
    <row r="225" ht="15" customHeight="1" s="39">
      <c r="A225" s="60" t="n"/>
      <c r="B225" s="60" t="n"/>
      <c r="C225" s="61" t="n"/>
      <c r="D225" s="61" t="n"/>
      <c r="E225" s="60" t="n"/>
      <c r="F225" s="60" t="n"/>
      <c r="G225" s="62" t="n"/>
      <c r="H225" s="62" t="n"/>
      <c r="I225" s="62" t="n"/>
      <c r="J225" s="60" t="n"/>
      <c r="K225" s="60" t="n"/>
      <c r="L225" s="60" t="n"/>
      <c r="M225" s="61" t="n"/>
      <c r="N225" s="60" t="n"/>
      <c r="O225" s="60" t="n"/>
      <c r="P225" s="60" t="n"/>
      <c r="Q225" s="60" t="n"/>
      <c r="R225" s="60" t="n"/>
      <c r="S225" s="60" t="n"/>
      <c r="T225" s="60" t="n"/>
      <c r="U225" s="60" t="n"/>
      <c r="V225" s="60" t="n"/>
      <c r="W225" s="60" t="n"/>
      <c r="X225" s="60" t="n"/>
      <c r="Y225" s="63">
        <f>IF($H225="","",TODAY()-$H225)</f>
        <v/>
      </c>
      <c r="Z225" s="63">
        <f>IF($A225="","",IF(AND($F225="Yes",OR($U225="No",$U225="NOT FOUND")),"YES",""))</f>
        <v/>
      </c>
      <c r="AA225" s="66">
        <f>IF($A225="","",TRIM(IF(AND($P225=0,$L225&lt;&gt;"Yes"),"T0-NoSmartcard ","")&amp;IF(AND($J225&lt;&gt;"",$J225&gt;365),"StalePwd ","")&amp;IF($K225="Yes","PwdNeverExpires ","")&amp;IF(AND($S225&lt;&gt;"",$S225&lt;&gt;"None"),"Delegation ","")&amp;IF(AND($Q225=1,$O225="None"),"StaleAdminCount ","")&amp;IF(AND($F225="Yes",$H225=""),"NeverLoggedOn ","")))</f>
        <v/>
      </c>
      <c r="AB225" s="60" t="n"/>
      <c r="AC225" s="61" t="n"/>
      <c r="AD225" s="60" t="n"/>
      <c r="AE225" s="62" t="n"/>
      <c r="AF225" s="62" t="n"/>
      <c r="AG225" s="62" t="n"/>
      <c r="AH225" s="60" t="n"/>
      <c r="AI225" s="61" t="n"/>
      <c r="AJ225" s="63">
        <f>IF($A225="","",IF(AF225="","Not Enrolled",IF(TODAY()&gt;AF225,"Review Overdue",IF(AF225-TODAY()&lt;=30,"Review Due Soon","Active"))))</f>
        <v/>
      </c>
      <c r="AK225" s="63">
        <f>IF($A225="","",IF(AG225="","NOT REVIEWED",IF(TODAY()-AG225&gt;90,"OVERDUE",IF(TODAY()-AG225&gt;76,"Due Soon","Current"))))</f>
        <v/>
      </c>
    </row>
    <row r="226" ht="15" customHeight="1" s="39">
      <c r="A226" s="60" t="n"/>
      <c r="B226" s="60" t="n"/>
      <c r="C226" s="61" t="n"/>
      <c r="D226" s="61" t="n"/>
      <c r="E226" s="60" t="n"/>
      <c r="F226" s="60" t="n"/>
      <c r="G226" s="62" t="n"/>
      <c r="H226" s="62" t="n"/>
      <c r="I226" s="62" t="n"/>
      <c r="J226" s="60" t="n"/>
      <c r="K226" s="60" t="n"/>
      <c r="L226" s="60" t="n"/>
      <c r="M226" s="61" t="n"/>
      <c r="N226" s="60" t="n"/>
      <c r="O226" s="60" t="n"/>
      <c r="P226" s="60" t="n"/>
      <c r="Q226" s="60" t="n"/>
      <c r="R226" s="60" t="n"/>
      <c r="S226" s="60" t="n"/>
      <c r="T226" s="60" t="n"/>
      <c r="U226" s="60" t="n"/>
      <c r="V226" s="60" t="n"/>
      <c r="W226" s="60" t="n"/>
      <c r="X226" s="60" t="n"/>
      <c r="Y226" s="63">
        <f>IF($H226="","",TODAY()-$H226)</f>
        <v/>
      </c>
      <c r="Z226" s="63">
        <f>IF($A226="","",IF(AND($F226="Yes",OR($U226="No",$U226="NOT FOUND")),"YES",""))</f>
        <v/>
      </c>
      <c r="AA226" s="66">
        <f>IF($A226="","",TRIM(IF(AND($P226=0,$L226&lt;&gt;"Yes"),"T0-NoSmartcard ","")&amp;IF(AND($J226&lt;&gt;"",$J226&gt;365),"StalePwd ","")&amp;IF($K226="Yes","PwdNeverExpires ","")&amp;IF(AND($S226&lt;&gt;"",$S226&lt;&gt;"None"),"Delegation ","")&amp;IF(AND($Q226=1,$O226="None"),"StaleAdminCount ","")&amp;IF(AND($F226="Yes",$H226=""),"NeverLoggedOn ","")))</f>
        <v/>
      </c>
      <c r="AB226" s="60" t="n"/>
      <c r="AC226" s="61" t="n"/>
      <c r="AD226" s="60" t="n"/>
      <c r="AE226" s="62" t="n"/>
      <c r="AF226" s="62" t="n"/>
      <c r="AG226" s="62" t="n"/>
      <c r="AH226" s="60" t="n"/>
      <c r="AI226" s="61" t="n"/>
      <c r="AJ226" s="63">
        <f>IF($A226="","",IF(AF226="","Not Enrolled",IF(TODAY()&gt;AF226,"Review Overdue",IF(AF226-TODAY()&lt;=30,"Review Due Soon","Active"))))</f>
        <v/>
      </c>
      <c r="AK226" s="63">
        <f>IF($A226="","",IF(AG226="","NOT REVIEWED",IF(TODAY()-AG226&gt;90,"OVERDUE",IF(TODAY()-AG226&gt;76,"Due Soon","Current"))))</f>
        <v/>
      </c>
    </row>
    <row r="227" ht="15" customHeight="1" s="39">
      <c r="A227" s="60" t="n"/>
      <c r="B227" s="60" t="n"/>
      <c r="C227" s="61" t="n"/>
      <c r="D227" s="61" t="n"/>
      <c r="E227" s="60" t="n"/>
      <c r="F227" s="60" t="n"/>
      <c r="G227" s="62" t="n"/>
      <c r="H227" s="62" t="n"/>
      <c r="I227" s="62" t="n"/>
      <c r="J227" s="60" t="n"/>
      <c r="K227" s="60" t="n"/>
      <c r="L227" s="60" t="n"/>
      <c r="M227" s="61" t="n"/>
      <c r="N227" s="60" t="n"/>
      <c r="O227" s="60" t="n"/>
      <c r="P227" s="60" t="n"/>
      <c r="Q227" s="60" t="n"/>
      <c r="R227" s="60" t="n"/>
      <c r="S227" s="60" t="n"/>
      <c r="T227" s="60" t="n"/>
      <c r="U227" s="60" t="n"/>
      <c r="V227" s="60" t="n"/>
      <c r="W227" s="60" t="n"/>
      <c r="X227" s="60" t="n"/>
      <c r="Y227" s="63">
        <f>IF($H227="","",TODAY()-$H227)</f>
        <v/>
      </c>
      <c r="Z227" s="63">
        <f>IF($A227="","",IF(AND($F227="Yes",OR($U227="No",$U227="NOT FOUND")),"YES",""))</f>
        <v/>
      </c>
      <c r="AA227" s="66">
        <f>IF($A227="","",TRIM(IF(AND($P227=0,$L227&lt;&gt;"Yes"),"T0-NoSmartcard ","")&amp;IF(AND($J227&lt;&gt;"",$J227&gt;365),"StalePwd ","")&amp;IF($K227="Yes","PwdNeverExpires ","")&amp;IF(AND($S227&lt;&gt;"",$S227&lt;&gt;"None"),"Delegation ","")&amp;IF(AND($Q227=1,$O227="None"),"StaleAdminCount ","")&amp;IF(AND($F227="Yes",$H227=""),"NeverLoggedOn ","")))</f>
        <v/>
      </c>
      <c r="AB227" s="60" t="n"/>
      <c r="AC227" s="61" t="n"/>
      <c r="AD227" s="60" t="n"/>
      <c r="AE227" s="62" t="n"/>
      <c r="AF227" s="62" t="n"/>
      <c r="AG227" s="62" t="n"/>
      <c r="AH227" s="60" t="n"/>
      <c r="AI227" s="61" t="n"/>
      <c r="AJ227" s="63">
        <f>IF($A227="","",IF(AF227="","Not Enrolled",IF(TODAY()&gt;AF227,"Review Overdue",IF(AF227-TODAY()&lt;=30,"Review Due Soon","Active"))))</f>
        <v/>
      </c>
      <c r="AK227" s="63">
        <f>IF($A227="","",IF(AG227="","NOT REVIEWED",IF(TODAY()-AG227&gt;90,"OVERDUE",IF(TODAY()-AG227&gt;76,"Due Soon","Current"))))</f>
        <v/>
      </c>
    </row>
    <row r="228" ht="15" customHeight="1" s="39">
      <c r="A228" s="60" t="n"/>
      <c r="B228" s="60" t="n"/>
      <c r="C228" s="61" t="n"/>
      <c r="D228" s="61" t="n"/>
      <c r="E228" s="60" t="n"/>
      <c r="F228" s="60" t="n"/>
      <c r="G228" s="62" t="n"/>
      <c r="H228" s="62" t="n"/>
      <c r="I228" s="62" t="n"/>
      <c r="J228" s="60" t="n"/>
      <c r="K228" s="60" t="n"/>
      <c r="L228" s="60" t="n"/>
      <c r="M228" s="61" t="n"/>
      <c r="N228" s="60" t="n"/>
      <c r="O228" s="60" t="n"/>
      <c r="P228" s="60" t="n"/>
      <c r="Q228" s="60" t="n"/>
      <c r="R228" s="60" t="n"/>
      <c r="S228" s="60" t="n"/>
      <c r="T228" s="60" t="n"/>
      <c r="U228" s="60" t="n"/>
      <c r="V228" s="60" t="n"/>
      <c r="W228" s="60" t="n"/>
      <c r="X228" s="60" t="n"/>
      <c r="Y228" s="63">
        <f>IF($H228="","",TODAY()-$H228)</f>
        <v/>
      </c>
      <c r="Z228" s="63">
        <f>IF($A228="","",IF(AND($F228="Yes",OR($U228="No",$U228="NOT FOUND")),"YES",""))</f>
        <v/>
      </c>
      <c r="AA228" s="66">
        <f>IF($A228="","",TRIM(IF(AND($P228=0,$L228&lt;&gt;"Yes"),"T0-NoSmartcard ","")&amp;IF(AND($J228&lt;&gt;"",$J228&gt;365),"StalePwd ","")&amp;IF($K228="Yes","PwdNeverExpires ","")&amp;IF(AND($S228&lt;&gt;"",$S228&lt;&gt;"None"),"Delegation ","")&amp;IF(AND($Q228=1,$O228="None"),"StaleAdminCount ","")&amp;IF(AND($F228="Yes",$H228=""),"NeverLoggedOn ","")))</f>
        <v/>
      </c>
      <c r="AB228" s="60" t="n"/>
      <c r="AC228" s="61" t="n"/>
      <c r="AD228" s="60" t="n"/>
      <c r="AE228" s="62" t="n"/>
      <c r="AF228" s="62" t="n"/>
      <c r="AG228" s="62" t="n"/>
      <c r="AH228" s="60" t="n"/>
      <c r="AI228" s="61" t="n"/>
      <c r="AJ228" s="63">
        <f>IF($A228="","",IF(AF228="","Not Enrolled",IF(TODAY()&gt;AF228,"Review Overdue",IF(AF228-TODAY()&lt;=30,"Review Due Soon","Active"))))</f>
        <v/>
      </c>
      <c r="AK228" s="63">
        <f>IF($A228="","",IF(AG228="","NOT REVIEWED",IF(TODAY()-AG228&gt;90,"OVERDUE",IF(TODAY()-AG228&gt;76,"Due Soon","Current"))))</f>
        <v/>
      </c>
    </row>
    <row r="229" ht="15" customHeight="1" s="39">
      <c r="A229" s="60" t="n"/>
      <c r="B229" s="60" t="n"/>
      <c r="C229" s="61" t="n"/>
      <c r="D229" s="61" t="n"/>
      <c r="E229" s="60" t="n"/>
      <c r="F229" s="60" t="n"/>
      <c r="G229" s="62" t="n"/>
      <c r="H229" s="62" t="n"/>
      <c r="I229" s="62" t="n"/>
      <c r="J229" s="60" t="n"/>
      <c r="K229" s="60" t="n"/>
      <c r="L229" s="60" t="n"/>
      <c r="M229" s="61" t="n"/>
      <c r="N229" s="60" t="n"/>
      <c r="O229" s="60" t="n"/>
      <c r="P229" s="60" t="n"/>
      <c r="Q229" s="60" t="n"/>
      <c r="R229" s="60" t="n"/>
      <c r="S229" s="60" t="n"/>
      <c r="T229" s="60" t="n"/>
      <c r="U229" s="60" t="n"/>
      <c r="V229" s="60" t="n"/>
      <c r="W229" s="60" t="n"/>
      <c r="X229" s="60" t="n"/>
      <c r="Y229" s="63">
        <f>IF($H229="","",TODAY()-$H229)</f>
        <v/>
      </c>
      <c r="Z229" s="63">
        <f>IF($A229="","",IF(AND($F229="Yes",OR($U229="No",$U229="NOT FOUND")),"YES",""))</f>
        <v/>
      </c>
      <c r="AA229" s="66">
        <f>IF($A229="","",TRIM(IF(AND($P229=0,$L229&lt;&gt;"Yes"),"T0-NoSmartcard ","")&amp;IF(AND($J229&lt;&gt;"",$J229&gt;365),"StalePwd ","")&amp;IF($K229="Yes","PwdNeverExpires ","")&amp;IF(AND($S229&lt;&gt;"",$S229&lt;&gt;"None"),"Delegation ","")&amp;IF(AND($Q229=1,$O229="None"),"StaleAdminCount ","")&amp;IF(AND($F229="Yes",$H229=""),"NeverLoggedOn ","")))</f>
        <v/>
      </c>
      <c r="AB229" s="60" t="n"/>
      <c r="AC229" s="61" t="n"/>
      <c r="AD229" s="60" t="n"/>
      <c r="AE229" s="62" t="n"/>
      <c r="AF229" s="62" t="n"/>
      <c r="AG229" s="62" t="n"/>
      <c r="AH229" s="60" t="n"/>
      <c r="AI229" s="61" t="n"/>
      <c r="AJ229" s="63">
        <f>IF($A229="","",IF(AF229="","Not Enrolled",IF(TODAY()&gt;AF229,"Review Overdue",IF(AF229-TODAY()&lt;=30,"Review Due Soon","Active"))))</f>
        <v/>
      </c>
      <c r="AK229" s="63">
        <f>IF($A229="","",IF(AG229="","NOT REVIEWED",IF(TODAY()-AG229&gt;90,"OVERDUE",IF(TODAY()-AG229&gt;76,"Due Soon","Current"))))</f>
        <v/>
      </c>
    </row>
    <row r="230" ht="15" customHeight="1" s="39">
      <c r="A230" s="60" t="n"/>
      <c r="B230" s="60" t="n"/>
      <c r="C230" s="61" t="n"/>
      <c r="D230" s="61" t="n"/>
      <c r="E230" s="60" t="n"/>
      <c r="F230" s="60" t="n"/>
      <c r="G230" s="62" t="n"/>
      <c r="H230" s="62" t="n"/>
      <c r="I230" s="62" t="n"/>
      <c r="J230" s="60" t="n"/>
      <c r="K230" s="60" t="n"/>
      <c r="L230" s="60" t="n"/>
      <c r="M230" s="61" t="n"/>
      <c r="N230" s="60" t="n"/>
      <c r="O230" s="60" t="n"/>
      <c r="P230" s="60" t="n"/>
      <c r="Q230" s="60" t="n"/>
      <c r="R230" s="60" t="n"/>
      <c r="S230" s="60" t="n"/>
      <c r="T230" s="60" t="n"/>
      <c r="U230" s="60" t="n"/>
      <c r="V230" s="60" t="n"/>
      <c r="W230" s="60" t="n"/>
      <c r="X230" s="60" t="n"/>
      <c r="Y230" s="63">
        <f>IF($H230="","",TODAY()-$H230)</f>
        <v/>
      </c>
      <c r="Z230" s="63">
        <f>IF($A230="","",IF(AND($F230="Yes",OR($U230="No",$U230="NOT FOUND")),"YES",""))</f>
        <v/>
      </c>
      <c r="AA230" s="66">
        <f>IF($A230="","",TRIM(IF(AND($P230=0,$L230&lt;&gt;"Yes"),"T0-NoSmartcard ","")&amp;IF(AND($J230&lt;&gt;"",$J230&gt;365),"StalePwd ","")&amp;IF($K230="Yes","PwdNeverExpires ","")&amp;IF(AND($S230&lt;&gt;"",$S230&lt;&gt;"None"),"Delegation ","")&amp;IF(AND($Q230=1,$O230="None"),"StaleAdminCount ","")&amp;IF(AND($F230="Yes",$H230=""),"NeverLoggedOn ","")))</f>
        <v/>
      </c>
      <c r="AB230" s="60" t="n"/>
      <c r="AC230" s="61" t="n"/>
      <c r="AD230" s="60" t="n"/>
      <c r="AE230" s="62" t="n"/>
      <c r="AF230" s="62" t="n"/>
      <c r="AG230" s="62" t="n"/>
      <c r="AH230" s="60" t="n"/>
      <c r="AI230" s="61" t="n"/>
      <c r="AJ230" s="63">
        <f>IF($A230="","",IF(AF230="","Not Enrolled",IF(TODAY()&gt;AF230,"Review Overdue",IF(AF230-TODAY()&lt;=30,"Review Due Soon","Active"))))</f>
        <v/>
      </c>
      <c r="AK230" s="63">
        <f>IF($A230="","",IF(AG230="","NOT REVIEWED",IF(TODAY()-AG230&gt;90,"OVERDUE",IF(TODAY()-AG230&gt;76,"Due Soon","Current"))))</f>
        <v/>
      </c>
    </row>
    <row r="231" ht="15" customHeight="1" s="39">
      <c r="A231" s="60" t="n"/>
      <c r="B231" s="60" t="n"/>
      <c r="C231" s="61" t="n"/>
      <c r="D231" s="61" t="n"/>
      <c r="E231" s="60" t="n"/>
      <c r="F231" s="60" t="n"/>
      <c r="G231" s="62" t="n"/>
      <c r="H231" s="62" t="n"/>
      <c r="I231" s="62" t="n"/>
      <c r="J231" s="60" t="n"/>
      <c r="K231" s="60" t="n"/>
      <c r="L231" s="60" t="n"/>
      <c r="M231" s="61" t="n"/>
      <c r="N231" s="60" t="n"/>
      <c r="O231" s="60" t="n"/>
      <c r="P231" s="60" t="n"/>
      <c r="Q231" s="60" t="n"/>
      <c r="R231" s="60" t="n"/>
      <c r="S231" s="60" t="n"/>
      <c r="T231" s="60" t="n"/>
      <c r="U231" s="60" t="n"/>
      <c r="V231" s="60" t="n"/>
      <c r="W231" s="60" t="n"/>
      <c r="X231" s="60" t="n"/>
      <c r="Y231" s="63">
        <f>IF($H231="","",TODAY()-$H231)</f>
        <v/>
      </c>
      <c r="Z231" s="63">
        <f>IF($A231="","",IF(AND($F231="Yes",OR($U231="No",$U231="NOT FOUND")),"YES",""))</f>
        <v/>
      </c>
      <c r="AA231" s="66">
        <f>IF($A231="","",TRIM(IF(AND($P231=0,$L231&lt;&gt;"Yes"),"T0-NoSmartcard ","")&amp;IF(AND($J231&lt;&gt;"",$J231&gt;365),"StalePwd ","")&amp;IF($K231="Yes","PwdNeverExpires ","")&amp;IF(AND($S231&lt;&gt;"",$S231&lt;&gt;"None"),"Delegation ","")&amp;IF(AND($Q231=1,$O231="None"),"StaleAdminCount ","")&amp;IF(AND($F231="Yes",$H231=""),"NeverLoggedOn ","")))</f>
        <v/>
      </c>
      <c r="AB231" s="60" t="n"/>
      <c r="AC231" s="61" t="n"/>
      <c r="AD231" s="60" t="n"/>
      <c r="AE231" s="62" t="n"/>
      <c r="AF231" s="62" t="n"/>
      <c r="AG231" s="62" t="n"/>
      <c r="AH231" s="60" t="n"/>
      <c r="AI231" s="61" t="n"/>
      <c r="AJ231" s="63">
        <f>IF($A231="","",IF(AF231="","Not Enrolled",IF(TODAY()&gt;AF231,"Review Overdue",IF(AF231-TODAY()&lt;=30,"Review Due Soon","Active"))))</f>
        <v/>
      </c>
      <c r="AK231" s="63">
        <f>IF($A231="","",IF(AG231="","NOT REVIEWED",IF(TODAY()-AG231&gt;90,"OVERDUE",IF(TODAY()-AG231&gt;76,"Due Soon","Current"))))</f>
        <v/>
      </c>
    </row>
    <row r="232" ht="15" customHeight="1" s="39">
      <c r="A232" s="60" t="n"/>
      <c r="B232" s="60" t="n"/>
      <c r="C232" s="61" t="n"/>
      <c r="D232" s="61" t="n"/>
      <c r="E232" s="60" t="n"/>
      <c r="F232" s="60" t="n"/>
      <c r="G232" s="62" t="n"/>
      <c r="H232" s="62" t="n"/>
      <c r="I232" s="62" t="n"/>
      <c r="J232" s="60" t="n"/>
      <c r="K232" s="60" t="n"/>
      <c r="L232" s="60" t="n"/>
      <c r="M232" s="61" t="n"/>
      <c r="N232" s="60" t="n"/>
      <c r="O232" s="60" t="n"/>
      <c r="P232" s="60" t="n"/>
      <c r="Q232" s="60" t="n"/>
      <c r="R232" s="60" t="n"/>
      <c r="S232" s="60" t="n"/>
      <c r="T232" s="60" t="n"/>
      <c r="U232" s="60" t="n"/>
      <c r="V232" s="60" t="n"/>
      <c r="W232" s="60" t="n"/>
      <c r="X232" s="60" t="n"/>
      <c r="Y232" s="63">
        <f>IF($H232="","",TODAY()-$H232)</f>
        <v/>
      </c>
      <c r="Z232" s="63">
        <f>IF($A232="","",IF(AND($F232="Yes",OR($U232="No",$U232="NOT FOUND")),"YES",""))</f>
        <v/>
      </c>
      <c r="AA232" s="66">
        <f>IF($A232="","",TRIM(IF(AND($P232=0,$L232&lt;&gt;"Yes"),"T0-NoSmartcard ","")&amp;IF(AND($J232&lt;&gt;"",$J232&gt;365),"StalePwd ","")&amp;IF($K232="Yes","PwdNeverExpires ","")&amp;IF(AND($S232&lt;&gt;"",$S232&lt;&gt;"None"),"Delegation ","")&amp;IF(AND($Q232=1,$O232="None"),"StaleAdminCount ","")&amp;IF(AND($F232="Yes",$H232=""),"NeverLoggedOn ","")))</f>
        <v/>
      </c>
      <c r="AB232" s="60" t="n"/>
      <c r="AC232" s="61" t="n"/>
      <c r="AD232" s="60" t="n"/>
      <c r="AE232" s="62" t="n"/>
      <c r="AF232" s="62" t="n"/>
      <c r="AG232" s="62" t="n"/>
      <c r="AH232" s="60" t="n"/>
      <c r="AI232" s="61" t="n"/>
      <c r="AJ232" s="63">
        <f>IF($A232="","",IF(AF232="","Not Enrolled",IF(TODAY()&gt;AF232,"Review Overdue",IF(AF232-TODAY()&lt;=30,"Review Due Soon","Active"))))</f>
        <v/>
      </c>
      <c r="AK232" s="63">
        <f>IF($A232="","",IF(AG232="","NOT REVIEWED",IF(TODAY()-AG232&gt;90,"OVERDUE",IF(TODAY()-AG232&gt;76,"Due Soon","Current"))))</f>
        <v/>
      </c>
    </row>
    <row r="233" ht="15" customHeight="1" s="39">
      <c r="A233" s="60" t="n"/>
      <c r="B233" s="60" t="n"/>
      <c r="C233" s="61" t="n"/>
      <c r="D233" s="61" t="n"/>
      <c r="E233" s="60" t="n"/>
      <c r="F233" s="60" t="n"/>
      <c r="G233" s="62" t="n"/>
      <c r="H233" s="62" t="n"/>
      <c r="I233" s="62" t="n"/>
      <c r="J233" s="60" t="n"/>
      <c r="K233" s="60" t="n"/>
      <c r="L233" s="60" t="n"/>
      <c r="M233" s="61" t="n"/>
      <c r="N233" s="60" t="n"/>
      <c r="O233" s="60" t="n"/>
      <c r="P233" s="60" t="n"/>
      <c r="Q233" s="60" t="n"/>
      <c r="R233" s="60" t="n"/>
      <c r="S233" s="60" t="n"/>
      <c r="T233" s="60" t="n"/>
      <c r="U233" s="60" t="n"/>
      <c r="V233" s="60" t="n"/>
      <c r="W233" s="60" t="n"/>
      <c r="X233" s="60" t="n"/>
      <c r="Y233" s="63">
        <f>IF($H233="","",TODAY()-$H233)</f>
        <v/>
      </c>
      <c r="Z233" s="63">
        <f>IF($A233="","",IF(AND($F233="Yes",OR($U233="No",$U233="NOT FOUND")),"YES",""))</f>
        <v/>
      </c>
      <c r="AA233" s="66">
        <f>IF($A233="","",TRIM(IF(AND($P233=0,$L233&lt;&gt;"Yes"),"T0-NoSmartcard ","")&amp;IF(AND($J233&lt;&gt;"",$J233&gt;365),"StalePwd ","")&amp;IF($K233="Yes","PwdNeverExpires ","")&amp;IF(AND($S233&lt;&gt;"",$S233&lt;&gt;"None"),"Delegation ","")&amp;IF(AND($Q233=1,$O233="None"),"StaleAdminCount ","")&amp;IF(AND($F233="Yes",$H233=""),"NeverLoggedOn ","")))</f>
        <v/>
      </c>
      <c r="AB233" s="60" t="n"/>
      <c r="AC233" s="61" t="n"/>
      <c r="AD233" s="60" t="n"/>
      <c r="AE233" s="62" t="n"/>
      <c r="AF233" s="62" t="n"/>
      <c r="AG233" s="62" t="n"/>
      <c r="AH233" s="60" t="n"/>
      <c r="AI233" s="61" t="n"/>
      <c r="AJ233" s="63">
        <f>IF($A233="","",IF(AF233="","Not Enrolled",IF(TODAY()&gt;AF233,"Review Overdue",IF(AF233-TODAY()&lt;=30,"Review Due Soon","Active"))))</f>
        <v/>
      </c>
      <c r="AK233" s="63">
        <f>IF($A233="","",IF(AG233="","NOT REVIEWED",IF(TODAY()-AG233&gt;90,"OVERDUE",IF(TODAY()-AG233&gt;76,"Due Soon","Current"))))</f>
        <v/>
      </c>
    </row>
    <row r="234" ht="15" customHeight="1" s="39">
      <c r="A234" s="60" t="n"/>
      <c r="B234" s="60" t="n"/>
      <c r="C234" s="61" t="n"/>
      <c r="D234" s="61" t="n"/>
      <c r="E234" s="60" t="n"/>
      <c r="F234" s="60" t="n"/>
      <c r="G234" s="62" t="n"/>
      <c r="H234" s="62" t="n"/>
      <c r="I234" s="62" t="n"/>
      <c r="J234" s="60" t="n"/>
      <c r="K234" s="60" t="n"/>
      <c r="L234" s="60" t="n"/>
      <c r="M234" s="61" t="n"/>
      <c r="N234" s="60" t="n"/>
      <c r="O234" s="60" t="n"/>
      <c r="P234" s="60" t="n"/>
      <c r="Q234" s="60" t="n"/>
      <c r="R234" s="60" t="n"/>
      <c r="S234" s="60" t="n"/>
      <c r="T234" s="60" t="n"/>
      <c r="U234" s="60" t="n"/>
      <c r="V234" s="60" t="n"/>
      <c r="W234" s="60" t="n"/>
      <c r="X234" s="60" t="n"/>
      <c r="Y234" s="63">
        <f>IF($H234="","",TODAY()-$H234)</f>
        <v/>
      </c>
      <c r="Z234" s="63">
        <f>IF($A234="","",IF(AND($F234="Yes",OR($U234="No",$U234="NOT FOUND")),"YES",""))</f>
        <v/>
      </c>
      <c r="AA234" s="66">
        <f>IF($A234="","",TRIM(IF(AND($P234=0,$L234&lt;&gt;"Yes"),"T0-NoSmartcard ","")&amp;IF(AND($J234&lt;&gt;"",$J234&gt;365),"StalePwd ","")&amp;IF($K234="Yes","PwdNeverExpires ","")&amp;IF(AND($S234&lt;&gt;"",$S234&lt;&gt;"None"),"Delegation ","")&amp;IF(AND($Q234=1,$O234="None"),"StaleAdminCount ","")&amp;IF(AND($F234="Yes",$H234=""),"NeverLoggedOn ","")))</f>
        <v/>
      </c>
      <c r="AB234" s="60" t="n"/>
      <c r="AC234" s="61" t="n"/>
      <c r="AD234" s="60" t="n"/>
      <c r="AE234" s="62" t="n"/>
      <c r="AF234" s="62" t="n"/>
      <c r="AG234" s="62" t="n"/>
      <c r="AH234" s="60" t="n"/>
      <c r="AI234" s="61" t="n"/>
      <c r="AJ234" s="63">
        <f>IF($A234="","",IF(AF234="","Not Enrolled",IF(TODAY()&gt;AF234,"Review Overdue",IF(AF234-TODAY()&lt;=30,"Review Due Soon","Active"))))</f>
        <v/>
      </c>
      <c r="AK234" s="63">
        <f>IF($A234="","",IF(AG234="","NOT REVIEWED",IF(TODAY()-AG234&gt;90,"OVERDUE",IF(TODAY()-AG234&gt;76,"Due Soon","Current"))))</f>
        <v/>
      </c>
    </row>
    <row r="235" ht="15" customHeight="1" s="39">
      <c r="A235" s="60" t="n"/>
      <c r="B235" s="60" t="n"/>
      <c r="C235" s="61" t="n"/>
      <c r="D235" s="61" t="n"/>
      <c r="E235" s="60" t="n"/>
      <c r="F235" s="60" t="n"/>
      <c r="G235" s="62" t="n"/>
      <c r="H235" s="62" t="n"/>
      <c r="I235" s="62" t="n"/>
      <c r="J235" s="60" t="n"/>
      <c r="K235" s="60" t="n"/>
      <c r="L235" s="60" t="n"/>
      <c r="M235" s="61" t="n"/>
      <c r="N235" s="60" t="n"/>
      <c r="O235" s="60" t="n"/>
      <c r="P235" s="60" t="n"/>
      <c r="Q235" s="60" t="n"/>
      <c r="R235" s="60" t="n"/>
      <c r="S235" s="60" t="n"/>
      <c r="T235" s="60" t="n"/>
      <c r="U235" s="60" t="n"/>
      <c r="V235" s="60" t="n"/>
      <c r="W235" s="60" t="n"/>
      <c r="X235" s="60" t="n"/>
      <c r="Y235" s="63">
        <f>IF($H235="","",TODAY()-$H235)</f>
        <v/>
      </c>
      <c r="Z235" s="63">
        <f>IF($A235="","",IF(AND($F235="Yes",OR($U235="No",$U235="NOT FOUND")),"YES",""))</f>
        <v/>
      </c>
      <c r="AA235" s="66">
        <f>IF($A235="","",TRIM(IF(AND($P235=0,$L235&lt;&gt;"Yes"),"T0-NoSmartcard ","")&amp;IF(AND($J235&lt;&gt;"",$J235&gt;365),"StalePwd ","")&amp;IF($K235="Yes","PwdNeverExpires ","")&amp;IF(AND($S235&lt;&gt;"",$S235&lt;&gt;"None"),"Delegation ","")&amp;IF(AND($Q235=1,$O235="None"),"StaleAdminCount ","")&amp;IF(AND($F235="Yes",$H235=""),"NeverLoggedOn ","")))</f>
        <v/>
      </c>
      <c r="AB235" s="60" t="n"/>
      <c r="AC235" s="61" t="n"/>
      <c r="AD235" s="60" t="n"/>
      <c r="AE235" s="62" t="n"/>
      <c r="AF235" s="62" t="n"/>
      <c r="AG235" s="62" t="n"/>
      <c r="AH235" s="60" t="n"/>
      <c r="AI235" s="61" t="n"/>
      <c r="AJ235" s="63">
        <f>IF($A235="","",IF(AF235="","Not Enrolled",IF(TODAY()&gt;AF235,"Review Overdue",IF(AF235-TODAY()&lt;=30,"Review Due Soon","Active"))))</f>
        <v/>
      </c>
      <c r="AK235" s="63">
        <f>IF($A235="","",IF(AG235="","NOT REVIEWED",IF(TODAY()-AG235&gt;90,"OVERDUE",IF(TODAY()-AG235&gt;76,"Due Soon","Current"))))</f>
        <v/>
      </c>
    </row>
    <row r="236" ht="15" customHeight="1" s="39">
      <c r="A236" s="60" t="n"/>
      <c r="B236" s="60" t="n"/>
      <c r="C236" s="61" t="n"/>
      <c r="D236" s="61" t="n"/>
      <c r="E236" s="60" t="n"/>
      <c r="F236" s="60" t="n"/>
      <c r="G236" s="62" t="n"/>
      <c r="H236" s="62" t="n"/>
      <c r="I236" s="62" t="n"/>
      <c r="J236" s="60" t="n"/>
      <c r="K236" s="60" t="n"/>
      <c r="L236" s="60" t="n"/>
      <c r="M236" s="61" t="n"/>
      <c r="N236" s="60" t="n"/>
      <c r="O236" s="60" t="n"/>
      <c r="P236" s="60" t="n"/>
      <c r="Q236" s="60" t="n"/>
      <c r="R236" s="60" t="n"/>
      <c r="S236" s="60" t="n"/>
      <c r="T236" s="60" t="n"/>
      <c r="U236" s="60" t="n"/>
      <c r="V236" s="60" t="n"/>
      <c r="W236" s="60" t="n"/>
      <c r="X236" s="60" t="n"/>
      <c r="Y236" s="63">
        <f>IF($H236="","",TODAY()-$H236)</f>
        <v/>
      </c>
      <c r="Z236" s="63">
        <f>IF($A236="","",IF(AND($F236="Yes",OR($U236="No",$U236="NOT FOUND")),"YES",""))</f>
        <v/>
      </c>
      <c r="AA236" s="66">
        <f>IF($A236="","",TRIM(IF(AND($P236=0,$L236&lt;&gt;"Yes"),"T0-NoSmartcard ","")&amp;IF(AND($J236&lt;&gt;"",$J236&gt;365),"StalePwd ","")&amp;IF($K236="Yes","PwdNeverExpires ","")&amp;IF(AND($S236&lt;&gt;"",$S236&lt;&gt;"None"),"Delegation ","")&amp;IF(AND($Q236=1,$O236="None"),"StaleAdminCount ","")&amp;IF(AND($F236="Yes",$H236=""),"NeverLoggedOn ","")))</f>
        <v/>
      </c>
      <c r="AB236" s="60" t="n"/>
      <c r="AC236" s="61" t="n"/>
      <c r="AD236" s="60" t="n"/>
      <c r="AE236" s="62" t="n"/>
      <c r="AF236" s="62" t="n"/>
      <c r="AG236" s="62" t="n"/>
      <c r="AH236" s="60" t="n"/>
      <c r="AI236" s="61" t="n"/>
      <c r="AJ236" s="63">
        <f>IF($A236="","",IF(AF236="","Not Enrolled",IF(TODAY()&gt;AF236,"Review Overdue",IF(AF236-TODAY()&lt;=30,"Review Due Soon","Active"))))</f>
        <v/>
      </c>
      <c r="AK236" s="63">
        <f>IF($A236="","",IF(AG236="","NOT REVIEWED",IF(TODAY()-AG236&gt;90,"OVERDUE",IF(TODAY()-AG236&gt;76,"Due Soon","Current"))))</f>
        <v/>
      </c>
    </row>
    <row r="237" ht="15" customHeight="1" s="39">
      <c r="A237" s="60" t="n"/>
      <c r="B237" s="60" t="n"/>
      <c r="C237" s="61" t="n"/>
      <c r="D237" s="61" t="n"/>
      <c r="E237" s="60" t="n"/>
      <c r="F237" s="60" t="n"/>
      <c r="G237" s="62" t="n"/>
      <c r="H237" s="62" t="n"/>
      <c r="I237" s="62" t="n"/>
      <c r="J237" s="60" t="n"/>
      <c r="K237" s="60" t="n"/>
      <c r="L237" s="60" t="n"/>
      <c r="M237" s="61" t="n"/>
      <c r="N237" s="60" t="n"/>
      <c r="O237" s="60" t="n"/>
      <c r="P237" s="60" t="n"/>
      <c r="Q237" s="60" t="n"/>
      <c r="R237" s="60" t="n"/>
      <c r="S237" s="60" t="n"/>
      <c r="T237" s="60" t="n"/>
      <c r="U237" s="60" t="n"/>
      <c r="V237" s="60" t="n"/>
      <c r="W237" s="60" t="n"/>
      <c r="X237" s="60" t="n"/>
      <c r="Y237" s="63">
        <f>IF($H237="","",TODAY()-$H237)</f>
        <v/>
      </c>
      <c r="Z237" s="63">
        <f>IF($A237="","",IF(AND($F237="Yes",OR($U237="No",$U237="NOT FOUND")),"YES",""))</f>
        <v/>
      </c>
      <c r="AA237" s="66">
        <f>IF($A237="","",TRIM(IF(AND($P237=0,$L237&lt;&gt;"Yes"),"T0-NoSmartcard ","")&amp;IF(AND($J237&lt;&gt;"",$J237&gt;365),"StalePwd ","")&amp;IF($K237="Yes","PwdNeverExpires ","")&amp;IF(AND($S237&lt;&gt;"",$S237&lt;&gt;"None"),"Delegation ","")&amp;IF(AND($Q237=1,$O237="None"),"StaleAdminCount ","")&amp;IF(AND($F237="Yes",$H237=""),"NeverLoggedOn ","")))</f>
        <v/>
      </c>
      <c r="AB237" s="60" t="n"/>
      <c r="AC237" s="61" t="n"/>
      <c r="AD237" s="60" t="n"/>
      <c r="AE237" s="62" t="n"/>
      <c r="AF237" s="62" t="n"/>
      <c r="AG237" s="62" t="n"/>
      <c r="AH237" s="60" t="n"/>
      <c r="AI237" s="61" t="n"/>
      <c r="AJ237" s="63">
        <f>IF($A237="","",IF(AF237="","Not Enrolled",IF(TODAY()&gt;AF237,"Review Overdue",IF(AF237-TODAY()&lt;=30,"Review Due Soon","Active"))))</f>
        <v/>
      </c>
      <c r="AK237" s="63">
        <f>IF($A237="","",IF(AG237="","NOT REVIEWED",IF(TODAY()-AG237&gt;90,"OVERDUE",IF(TODAY()-AG237&gt;76,"Due Soon","Current"))))</f>
        <v/>
      </c>
    </row>
    <row r="238" ht="15" customHeight="1" s="39">
      <c r="A238" s="60" t="n"/>
      <c r="B238" s="60" t="n"/>
      <c r="C238" s="61" t="n"/>
      <c r="D238" s="61" t="n"/>
      <c r="E238" s="60" t="n"/>
      <c r="F238" s="60" t="n"/>
      <c r="G238" s="62" t="n"/>
      <c r="H238" s="62" t="n"/>
      <c r="I238" s="62" t="n"/>
      <c r="J238" s="60" t="n"/>
      <c r="K238" s="60" t="n"/>
      <c r="L238" s="60" t="n"/>
      <c r="M238" s="61" t="n"/>
      <c r="N238" s="60" t="n"/>
      <c r="O238" s="60" t="n"/>
      <c r="P238" s="60" t="n"/>
      <c r="Q238" s="60" t="n"/>
      <c r="R238" s="60" t="n"/>
      <c r="S238" s="60" t="n"/>
      <c r="T238" s="60" t="n"/>
      <c r="U238" s="60" t="n"/>
      <c r="V238" s="60" t="n"/>
      <c r="W238" s="60" t="n"/>
      <c r="X238" s="60" t="n"/>
      <c r="Y238" s="63">
        <f>IF($H238="","",TODAY()-$H238)</f>
        <v/>
      </c>
      <c r="Z238" s="63">
        <f>IF($A238="","",IF(AND($F238="Yes",OR($U238="No",$U238="NOT FOUND")),"YES",""))</f>
        <v/>
      </c>
      <c r="AA238" s="66">
        <f>IF($A238="","",TRIM(IF(AND($P238=0,$L238&lt;&gt;"Yes"),"T0-NoSmartcard ","")&amp;IF(AND($J238&lt;&gt;"",$J238&gt;365),"StalePwd ","")&amp;IF($K238="Yes","PwdNeverExpires ","")&amp;IF(AND($S238&lt;&gt;"",$S238&lt;&gt;"None"),"Delegation ","")&amp;IF(AND($Q238=1,$O238="None"),"StaleAdminCount ","")&amp;IF(AND($F238="Yes",$H238=""),"NeverLoggedOn ","")))</f>
        <v/>
      </c>
      <c r="AB238" s="60" t="n"/>
      <c r="AC238" s="61" t="n"/>
      <c r="AD238" s="60" t="n"/>
      <c r="AE238" s="62" t="n"/>
      <c r="AF238" s="62" t="n"/>
      <c r="AG238" s="62" t="n"/>
      <c r="AH238" s="60" t="n"/>
      <c r="AI238" s="61" t="n"/>
      <c r="AJ238" s="63">
        <f>IF($A238="","",IF(AF238="","Not Enrolled",IF(TODAY()&gt;AF238,"Review Overdue",IF(AF238-TODAY()&lt;=30,"Review Due Soon","Active"))))</f>
        <v/>
      </c>
      <c r="AK238" s="63">
        <f>IF($A238="","",IF(AG238="","NOT REVIEWED",IF(TODAY()-AG238&gt;90,"OVERDUE",IF(TODAY()-AG238&gt;76,"Due Soon","Current"))))</f>
        <v/>
      </c>
    </row>
    <row r="239" ht="15" customHeight="1" s="39">
      <c r="A239" s="60" t="n"/>
      <c r="B239" s="60" t="n"/>
      <c r="C239" s="61" t="n"/>
      <c r="D239" s="61" t="n"/>
      <c r="E239" s="60" t="n"/>
      <c r="F239" s="60" t="n"/>
      <c r="G239" s="62" t="n"/>
      <c r="H239" s="62" t="n"/>
      <c r="I239" s="62" t="n"/>
      <c r="J239" s="60" t="n"/>
      <c r="K239" s="60" t="n"/>
      <c r="L239" s="60" t="n"/>
      <c r="M239" s="61" t="n"/>
      <c r="N239" s="60" t="n"/>
      <c r="O239" s="60" t="n"/>
      <c r="P239" s="60" t="n"/>
      <c r="Q239" s="60" t="n"/>
      <c r="R239" s="60" t="n"/>
      <c r="S239" s="60" t="n"/>
      <c r="T239" s="60" t="n"/>
      <c r="U239" s="60" t="n"/>
      <c r="V239" s="60" t="n"/>
      <c r="W239" s="60" t="n"/>
      <c r="X239" s="60" t="n"/>
      <c r="Y239" s="63">
        <f>IF($H239="","",TODAY()-$H239)</f>
        <v/>
      </c>
      <c r="Z239" s="63">
        <f>IF($A239="","",IF(AND($F239="Yes",OR($U239="No",$U239="NOT FOUND")),"YES",""))</f>
        <v/>
      </c>
      <c r="AA239" s="66">
        <f>IF($A239="","",TRIM(IF(AND($P239=0,$L239&lt;&gt;"Yes"),"T0-NoSmartcard ","")&amp;IF(AND($J239&lt;&gt;"",$J239&gt;365),"StalePwd ","")&amp;IF($K239="Yes","PwdNeverExpires ","")&amp;IF(AND($S239&lt;&gt;"",$S239&lt;&gt;"None"),"Delegation ","")&amp;IF(AND($Q239=1,$O239="None"),"StaleAdminCount ","")&amp;IF(AND($F239="Yes",$H239=""),"NeverLoggedOn ","")))</f>
        <v/>
      </c>
      <c r="AB239" s="60" t="n"/>
      <c r="AC239" s="61" t="n"/>
      <c r="AD239" s="60" t="n"/>
      <c r="AE239" s="62" t="n"/>
      <c r="AF239" s="62" t="n"/>
      <c r="AG239" s="62" t="n"/>
      <c r="AH239" s="60" t="n"/>
      <c r="AI239" s="61" t="n"/>
      <c r="AJ239" s="63">
        <f>IF($A239="","",IF(AF239="","Not Enrolled",IF(TODAY()&gt;AF239,"Review Overdue",IF(AF239-TODAY()&lt;=30,"Review Due Soon","Active"))))</f>
        <v/>
      </c>
      <c r="AK239" s="63">
        <f>IF($A239="","",IF(AG239="","NOT REVIEWED",IF(TODAY()-AG239&gt;90,"OVERDUE",IF(TODAY()-AG239&gt;76,"Due Soon","Current"))))</f>
        <v/>
      </c>
    </row>
    <row r="240" ht="15" customHeight="1" s="39">
      <c r="A240" s="60" t="n"/>
      <c r="B240" s="60" t="n"/>
      <c r="C240" s="61" t="n"/>
      <c r="D240" s="61" t="n"/>
      <c r="E240" s="60" t="n"/>
      <c r="F240" s="60" t="n"/>
      <c r="G240" s="62" t="n"/>
      <c r="H240" s="62" t="n"/>
      <c r="I240" s="62" t="n"/>
      <c r="J240" s="60" t="n"/>
      <c r="K240" s="60" t="n"/>
      <c r="L240" s="60" t="n"/>
      <c r="M240" s="61" t="n"/>
      <c r="N240" s="60" t="n"/>
      <c r="O240" s="60" t="n"/>
      <c r="P240" s="60" t="n"/>
      <c r="Q240" s="60" t="n"/>
      <c r="R240" s="60" t="n"/>
      <c r="S240" s="60" t="n"/>
      <c r="T240" s="60" t="n"/>
      <c r="U240" s="60" t="n"/>
      <c r="V240" s="60" t="n"/>
      <c r="W240" s="60" t="n"/>
      <c r="X240" s="60" t="n"/>
      <c r="Y240" s="63">
        <f>IF($H240="","",TODAY()-$H240)</f>
        <v/>
      </c>
      <c r="Z240" s="63">
        <f>IF($A240="","",IF(AND($F240="Yes",OR($U240="No",$U240="NOT FOUND")),"YES",""))</f>
        <v/>
      </c>
      <c r="AA240" s="66">
        <f>IF($A240="","",TRIM(IF(AND($P240=0,$L240&lt;&gt;"Yes"),"T0-NoSmartcard ","")&amp;IF(AND($J240&lt;&gt;"",$J240&gt;365),"StalePwd ","")&amp;IF($K240="Yes","PwdNeverExpires ","")&amp;IF(AND($S240&lt;&gt;"",$S240&lt;&gt;"None"),"Delegation ","")&amp;IF(AND($Q240=1,$O240="None"),"StaleAdminCount ","")&amp;IF(AND($F240="Yes",$H240=""),"NeverLoggedOn ","")))</f>
        <v/>
      </c>
      <c r="AB240" s="60" t="n"/>
      <c r="AC240" s="61" t="n"/>
      <c r="AD240" s="60" t="n"/>
      <c r="AE240" s="62" t="n"/>
      <c r="AF240" s="62" t="n"/>
      <c r="AG240" s="62" t="n"/>
      <c r="AH240" s="60" t="n"/>
      <c r="AI240" s="61" t="n"/>
      <c r="AJ240" s="63">
        <f>IF($A240="","",IF(AF240="","Not Enrolled",IF(TODAY()&gt;AF240,"Review Overdue",IF(AF240-TODAY()&lt;=30,"Review Due Soon","Active"))))</f>
        <v/>
      </c>
      <c r="AK240" s="63">
        <f>IF($A240="","",IF(AG240="","NOT REVIEWED",IF(TODAY()-AG240&gt;90,"OVERDUE",IF(TODAY()-AG240&gt;76,"Due Soon","Current"))))</f>
        <v/>
      </c>
    </row>
    <row r="241" ht="15" customHeight="1" s="39">
      <c r="A241" s="60" t="n"/>
      <c r="B241" s="60" t="n"/>
      <c r="C241" s="61" t="n"/>
      <c r="D241" s="61" t="n"/>
      <c r="E241" s="60" t="n"/>
      <c r="F241" s="60" t="n"/>
      <c r="G241" s="62" t="n"/>
      <c r="H241" s="62" t="n"/>
      <c r="I241" s="62" t="n"/>
      <c r="J241" s="60" t="n"/>
      <c r="K241" s="60" t="n"/>
      <c r="L241" s="60" t="n"/>
      <c r="M241" s="61" t="n"/>
      <c r="N241" s="60" t="n"/>
      <c r="O241" s="60" t="n"/>
      <c r="P241" s="60" t="n"/>
      <c r="Q241" s="60" t="n"/>
      <c r="R241" s="60" t="n"/>
      <c r="S241" s="60" t="n"/>
      <c r="T241" s="60" t="n"/>
      <c r="U241" s="60" t="n"/>
      <c r="V241" s="60" t="n"/>
      <c r="W241" s="60" t="n"/>
      <c r="X241" s="60" t="n"/>
      <c r="Y241" s="63">
        <f>IF($H241="","",TODAY()-$H241)</f>
        <v/>
      </c>
      <c r="Z241" s="63">
        <f>IF($A241="","",IF(AND($F241="Yes",OR($U241="No",$U241="NOT FOUND")),"YES",""))</f>
        <v/>
      </c>
      <c r="AA241" s="66">
        <f>IF($A241="","",TRIM(IF(AND($P241=0,$L241&lt;&gt;"Yes"),"T0-NoSmartcard ","")&amp;IF(AND($J241&lt;&gt;"",$J241&gt;365),"StalePwd ","")&amp;IF($K241="Yes","PwdNeverExpires ","")&amp;IF(AND($S241&lt;&gt;"",$S241&lt;&gt;"None"),"Delegation ","")&amp;IF(AND($Q241=1,$O241="None"),"StaleAdminCount ","")&amp;IF(AND($F241="Yes",$H241=""),"NeverLoggedOn ","")))</f>
        <v/>
      </c>
      <c r="AB241" s="60" t="n"/>
      <c r="AC241" s="61" t="n"/>
      <c r="AD241" s="60" t="n"/>
      <c r="AE241" s="62" t="n"/>
      <c r="AF241" s="62" t="n"/>
      <c r="AG241" s="62" t="n"/>
      <c r="AH241" s="60" t="n"/>
      <c r="AI241" s="61" t="n"/>
      <c r="AJ241" s="63">
        <f>IF($A241="","",IF(AF241="","Not Enrolled",IF(TODAY()&gt;AF241,"Review Overdue",IF(AF241-TODAY()&lt;=30,"Review Due Soon","Active"))))</f>
        <v/>
      </c>
      <c r="AK241" s="63">
        <f>IF($A241="","",IF(AG241="","NOT REVIEWED",IF(TODAY()-AG241&gt;90,"OVERDUE",IF(TODAY()-AG241&gt;76,"Due Soon","Current"))))</f>
        <v/>
      </c>
    </row>
    <row r="242" ht="15" customHeight="1" s="39">
      <c r="A242" s="60" t="n"/>
      <c r="B242" s="60" t="n"/>
      <c r="C242" s="61" t="n"/>
      <c r="D242" s="61" t="n"/>
      <c r="E242" s="60" t="n"/>
      <c r="F242" s="60" t="n"/>
      <c r="G242" s="62" t="n"/>
      <c r="H242" s="62" t="n"/>
      <c r="I242" s="62" t="n"/>
      <c r="J242" s="60" t="n"/>
      <c r="K242" s="60" t="n"/>
      <c r="L242" s="60" t="n"/>
      <c r="M242" s="61" t="n"/>
      <c r="N242" s="60" t="n"/>
      <c r="O242" s="60" t="n"/>
      <c r="P242" s="60" t="n"/>
      <c r="Q242" s="60" t="n"/>
      <c r="R242" s="60" t="n"/>
      <c r="S242" s="60" t="n"/>
      <c r="T242" s="60" t="n"/>
      <c r="U242" s="60" t="n"/>
      <c r="V242" s="60" t="n"/>
      <c r="W242" s="60" t="n"/>
      <c r="X242" s="60" t="n"/>
      <c r="Y242" s="63">
        <f>IF($H242="","",TODAY()-$H242)</f>
        <v/>
      </c>
      <c r="Z242" s="63">
        <f>IF($A242="","",IF(AND($F242="Yes",OR($U242="No",$U242="NOT FOUND")),"YES",""))</f>
        <v/>
      </c>
      <c r="AA242" s="66">
        <f>IF($A242="","",TRIM(IF(AND($P242=0,$L242&lt;&gt;"Yes"),"T0-NoSmartcard ","")&amp;IF(AND($J242&lt;&gt;"",$J242&gt;365),"StalePwd ","")&amp;IF($K242="Yes","PwdNeverExpires ","")&amp;IF(AND($S242&lt;&gt;"",$S242&lt;&gt;"None"),"Delegation ","")&amp;IF(AND($Q242=1,$O242="None"),"StaleAdminCount ","")&amp;IF(AND($F242="Yes",$H242=""),"NeverLoggedOn ","")))</f>
        <v/>
      </c>
      <c r="AB242" s="60" t="n"/>
      <c r="AC242" s="61" t="n"/>
      <c r="AD242" s="60" t="n"/>
      <c r="AE242" s="62" t="n"/>
      <c r="AF242" s="62" t="n"/>
      <c r="AG242" s="62" t="n"/>
      <c r="AH242" s="60" t="n"/>
      <c r="AI242" s="61" t="n"/>
      <c r="AJ242" s="63">
        <f>IF($A242="","",IF(AF242="","Not Enrolled",IF(TODAY()&gt;AF242,"Review Overdue",IF(AF242-TODAY()&lt;=30,"Review Due Soon","Active"))))</f>
        <v/>
      </c>
      <c r="AK242" s="63">
        <f>IF($A242="","",IF(AG242="","NOT REVIEWED",IF(TODAY()-AG242&gt;90,"OVERDUE",IF(TODAY()-AG242&gt;76,"Due Soon","Current"))))</f>
        <v/>
      </c>
    </row>
    <row r="243" ht="15" customHeight="1" s="39">
      <c r="A243" s="60" t="n"/>
      <c r="B243" s="60" t="n"/>
      <c r="C243" s="61" t="n"/>
      <c r="D243" s="61" t="n"/>
      <c r="E243" s="60" t="n"/>
      <c r="F243" s="60" t="n"/>
      <c r="G243" s="62" t="n"/>
      <c r="H243" s="62" t="n"/>
      <c r="I243" s="62" t="n"/>
      <c r="J243" s="60" t="n"/>
      <c r="K243" s="60" t="n"/>
      <c r="L243" s="60" t="n"/>
      <c r="M243" s="61" t="n"/>
      <c r="N243" s="60" t="n"/>
      <c r="O243" s="60" t="n"/>
      <c r="P243" s="60" t="n"/>
      <c r="Q243" s="60" t="n"/>
      <c r="R243" s="60" t="n"/>
      <c r="S243" s="60" t="n"/>
      <c r="T243" s="60" t="n"/>
      <c r="U243" s="60" t="n"/>
      <c r="V243" s="60" t="n"/>
      <c r="W243" s="60" t="n"/>
      <c r="X243" s="60" t="n"/>
      <c r="Y243" s="63">
        <f>IF($H243="","",TODAY()-$H243)</f>
        <v/>
      </c>
      <c r="Z243" s="63">
        <f>IF($A243="","",IF(AND($F243="Yes",OR($U243="No",$U243="NOT FOUND")),"YES",""))</f>
        <v/>
      </c>
      <c r="AA243" s="66">
        <f>IF($A243="","",TRIM(IF(AND($P243=0,$L243&lt;&gt;"Yes"),"T0-NoSmartcard ","")&amp;IF(AND($J243&lt;&gt;"",$J243&gt;365),"StalePwd ","")&amp;IF($K243="Yes","PwdNeverExpires ","")&amp;IF(AND($S243&lt;&gt;"",$S243&lt;&gt;"None"),"Delegation ","")&amp;IF(AND($Q243=1,$O243="None"),"StaleAdminCount ","")&amp;IF(AND($F243="Yes",$H243=""),"NeverLoggedOn ","")))</f>
        <v/>
      </c>
      <c r="AB243" s="60" t="n"/>
      <c r="AC243" s="61" t="n"/>
      <c r="AD243" s="60" t="n"/>
      <c r="AE243" s="62" t="n"/>
      <c r="AF243" s="62" t="n"/>
      <c r="AG243" s="62" t="n"/>
      <c r="AH243" s="60" t="n"/>
      <c r="AI243" s="61" t="n"/>
      <c r="AJ243" s="63">
        <f>IF($A243="","",IF(AF243="","Not Enrolled",IF(TODAY()&gt;AF243,"Review Overdue",IF(AF243-TODAY()&lt;=30,"Review Due Soon","Active"))))</f>
        <v/>
      </c>
      <c r="AK243" s="63">
        <f>IF($A243="","",IF(AG243="","NOT REVIEWED",IF(TODAY()-AG243&gt;90,"OVERDUE",IF(TODAY()-AG243&gt;76,"Due Soon","Current"))))</f>
        <v/>
      </c>
    </row>
    <row r="244" ht="15" customHeight="1" s="39">
      <c r="A244" s="60" t="n"/>
      <c r="B244" s="60" t="n"/>
      <c r="C244" s="61" t="n"/>
      <c r="D244" s="61" t="n"/>
      <c r="E244" s="60" t="n"/>
      <c r="F244" s="60" t="n"/>
      <c r="G244" s="62" t="n"/>
      <c r="H244" s="62" t="n"/>
      <c r="I244" s="62" t="n"/>
      <c r="J244" s="60" t="n"/>
      <c r="K244" s="60" t="n"/>
      <c r="L244" s="60" t="n"/>
      <c r="M244" s="61" t="n"/>
      <c r="N244" s="60" t="n"/>
      <c r="O244" s="60" t="n"/>
      <c r="P244" s="60" t="n"/>
      <c r="Q244" s="60" t="n"/>
      <c r="R244" s="60" t="n"/>
      <c r="S244" s="60" t="n"/>
      <c r="T244" s="60" t="n"/>
      <c r="U244" s="60" t="n"/>
      <c r="V244" s="60" t="n"/>
      <c r="W244" s="60" t="n"/>
      <c r="X244" s="60" t="n"/>
      <c r="Y244" s="63">
        <f>IF($H244="","",TODAY()-$H244)</f>
        <v/>
      </c>
      <c r="Z244" s="63">
        <f>IF($A244="","",IF(AND($F244="Yes",OR($U244="No",$U244="NOT FOUND")),"YES",""))</f>
        <v/>
      </c>
      <c r="AA244" s="66">
        <f>IF($A244="","",TRIM(IF(AND($P244=0,$L244&lt;&gt;"Yes"),"T0-NoSmartcard ","")&amp;IF(AND($J244&lt;&gt;"",$J244&gt;365),"StalePwd ","")&amp;IF($K244="Yes","PwdNeverExpires ","")&amp;IF(AND($S244&lt;&gt;"",$S244&lt;&gt;"None"),"Delegation ","")&amp;IF(AND($Q244=1,$O244="None"),"StaleAdminCount ","")&amp;IF(AND($F244="Yes",$H244=""),"NeverLoggedOn ","")))</f>
        <v/>
      </c>
      <c r="AB244" s="60" t="n"/>
      <c r="AC244" s="61" t="n"/>
      <c r="AD244" s="60" t="n"/>
      <c r="AE244" s="62" t="n"/>
      <c r="AF244" s="62" t="n"/>
      <c r="AG244" s="62" t="n"/>
      <c r="AH244" s="60" t="n"/>
      <c r="AI244" s="61" t="n"/>
      <c r="AJ244" s="63">
        <f>IF($A244="","",IF(AF244="","Not Enrolled",IF(TODAY()&gt;AF244,"Review Overdue",IF(AF244-TODAY()&lt;=30,"Review Due Soon","Active"))))</f>
        <v/>
      </c>
      <c r="AK244" s="63">
        <f>IF($A244="","",IF(AG244="","NOT REVIEWED",IF(TODAY()-AG244&gt;90,"OVERDUE",IF(TODAY()-AG244&gt;76,"Due Soon","Current"))))</f>
        <v/>
      </c>
    </row>
    <row r="245" ht="15" customHeight="1" s="39">
      <c r="A245" s="60" t="n"/>
      <c r="B245" s="60" t="n"/>
      <c r="C245" s="61" t="n"/>
      <c r="D245" s="61" t="n"/>
      <c r="E245" s="60" t="n"/>
      <c r="F245" s="60" t="n"/>
      <c r="G245" s="62" t="n"/>
      <c r="H245" s="62" t="n"/>
      <c r="I245" s="62" t="n"/>
      <c r="J245" s="60" t="n"/>
      <c r="K245" s="60" t="n"/>
      <c r="L245" s="60" t="n"/>
      <c r="M245" s="61" t="n"/>
      <c r="N245" s="60" t="n"/>
      <c r="O245" s="60" t="n"/>
      <c r="P245" s="60" t="n"/>
      <c r="Q245" s="60" t="n"/>
      <c r="R245" s="60" t="n"/>
      <c r="S245" s="60" t="n"/>
      <c r="T245" s="60" t="n"/>
      <c r="U245" s="60" t="n"/>
      <c r="V245" s="60" t="n"/>
      <c r="W245" s="60" t="n"/>
      <c r="X245" s="60" t="n"/>
      <c r="Y245" s="63">
        <f>IF($H245="","",TODAY()-$H245)</f>
        <v/>
      </c>
      <c r="Z245" s="63">
        <f>IF($A245="","",IF(AND($F245="Yes",OR($U245="No",$U245="NOT FOUND")),"YES",""))</f>
        <v/>
      </c>
      <c r="AA245" s="66">
        <f>IF($A245="","",TRIM(IF(AND($P245=0,$L245&lt;&gt;"Yes"),"T0-NoSmartcard ","")&amp;IF(AND($J245&lt;&gt;"",$J245&gt;365),"StalePwd ","")&amp;IF($K245="Yes","PwdNeverExpires ","")&amp;IF(AND($S245&lt;&gt;"",$S245&lt;&gt;"None"),"Delegation ","")&amp;IF(AND($Q245=1,$O245="None"),"StaleAdminCount ","")&amp;IF(AND($F245="Yes",$H245=""),"NeverLoggedOn ","")))</f>
        <v/>
      </c>
      <c r="AB245" s="60" t="n"/>
      <c r="AC245" s="61" t="n"/>
      <c r="AD245" s="60" t="n"/>
      <c r="AE245" s="62" t="n"/>
      <c r="AF245" s="62" t="n"/>
      <c r="AG245" s="62" t="n"/>
      <c r="AH245" s="60" t="n"/>
      <c r="AI245" s="61" t="n"/>
      <c r="AJ245" s="63">
        <f>IF($A245="","",IF(AF245="","Not Enrolled",IF(TODAY()&gt;AF245,"Review Overdue",IF(AF245-TODAY()&lt;=30,"Review Due Soon","Active"))))</f>
        <v/>
      </c>
      <c r="AK245" s="63">
        <f>IF($A245="","",IF(AG245="","NOT REVIEWED",IF(TODAY()-AG245&gt;90,"OVERDUE",IF(TODAY()-AG245&gt;76,"Due Soon","Current"))))</f>
        <v/>
      </c>
    </row>
    <row r="246" ht="15" customHeight="1" s="39">
      <c r="A246" s="60" t="n"/>
      <c r="B246" s="60" t="n"/>
      <c r="C246" s="61" t="n"/>
      <c r="D246" s="61" t="n"/>
      <c r="E246" s="60" t="n"/>
      <c r="F246" s="60" t="n"/>
      <c r="G246" s="62" t="n"/>
      <c r="H246" s="62" t="n"/>
      <c r="I246" s="62" t="n"/>
      <c r="J246" s="60" t="n"/>
      <c r="K246" s="60" t="n"/>
      <c r="L246" s="60" t="n"/>
      <c r="M246" s="61" t="n"/>
      <c r="N246" s="60" t="n"/>
      <c r="O246" s="60" t="n"/>
      <c r="P246" s="60" t="n"/>
      <c r="Q246" s="60" t="n"/>
      <c r="R246" s="60" t="n"/>
      <c r="S246" s="60" t="n"/>
      <c r="T246" s="60" t="n"/>
      <c r="U246" s="60" t="n"/>
      <c r="V246" s="60" t="n"/>
      <c r="W246" s="60" t="n"/>
      <c r="X246" s="60" t="n"/>
      <c r="Y246" s="63">
        <f>IF($H246="","",TODAY()-$H246)</f>
        <v/>
      </c>
      <c r="Z246" s="63">
        <f>IF($A246="","",IF(AND($F246="Yes",OR($U246="No",$U246="NOT FOUND")),"YES",""))</f>
        <v/>
      </c>
      <c r="AA246" s="66">
        <f>IF($A246="","",TRIM(IF(AND($P246=0,$L246&lt;&gt;"Yes"),"T0-NoSmartcard ","")&amp;IF(AND($J246&lt;&gt;"",$J246&gt;365),"StalePwd ","")&amp;IF($K246="Yes","PwdNeverExpires ","")&amp;IF(AND($S246&lt;&gt;"",$S246&lt;&gt;"None"),"Delegation ","")&amp;IF(AND($Q246=1,$O246="None"),"StaleAdminCount ","")&amp;IF(AND($F246="Yes",$H246=""),"NeverLoggedOn ","")))</f>
        <v/>
      </c>
      <c r="AB246" s="60" t="n"/>
      <c r="AC246" s="61" t="n"/>
      <c r="AD246" s="60" t="n"/>
      <c r="AE246" s="62" t="n"/>
      <c r="AF246" s="62" t="n"/>
      <c r="AG246" s="62" t="n"/>
      <c r="AH246" s="60" t="n"/>
      <c r="AI246" s="61" t="n"/>
      <c r="AJ246" s="63">
        <f>IF($A246="","",IF(AF246="","Not Enrolled",IF(TODAY()&gt;AF246,"Review Overdue",IF(AF246-TODAY()&lt;=30,"Review Due Soon","Active"))))</f>
        <v/>
      </c>
      <c r="AK246" s="63">
        <f>IF($A246="","",IF(AG246="","NOT REVIEWED",IF(TODAY()-AG246&gt;90,"OVERDUE",IF(TODAY()-AG246&gt;76,"Due Soon","Current"))))</f>
        <v/>
      </c>
    </row>
    <row r="247" ht="15" customHeight="1" s="39">
      <c r="A247" s="60" t="n"/>
      <c r="B247" s="60" t="n"/>
      <c r="C247" s="61" t="n"/>
      <c r="D247" s="61" t="n"/>
      <c r="E247" s="60" t="n"/>
      <c r="F247" s="60" t="n"/>
      <c r="G247" s="62" t="n"/>
      <c r="H247" s="62" t="n"/>
      <c r="I247" s="62" t="n"/>
      <c r="J247" s="60" t="n"/>
      <c r="K247" s="60" t="n"/>
      <c r="L247" s="60" t="n"/>
      <c r="M247" s="61" t="n"/>
      <c r="N247" s="60" t="n"/>
      <c r="O247" s="60" t="n"/>
      <c r="P247" s="60" t="n"/>
      <c r="Q247" s="60" t="n"/>
      <c r="R247" s="60" t="n"/>
      <c r="S247" s="60" t="n"/>
      <c r="T247" s="60" t="n"/>
      <c r="U247" s="60" t="n"/>
      <c r="V247" s="60" t="n"/>
      <c r="W247" s="60" t="n"/>
      <c r="X247" s="60" t="n"/>
      <c r="Y247" s="63">
        <f>IF($H247="","",TODAY()-$H247)</f>
        <v/>
      </c>
      <c r="Z247" s="63">
        <f>IF($A247="","",IF(AND($F247="Yes",OR($U247="No",$U247="NOT FOUND")),"YES",""))</f>
        <v/>
      </c>
      <c r="AA247" s="66">
        <f>IF($A247="","",TRIM(IF(AND($P247=0,$L247&lt;&gt;"Yes"),"T0-NoSmartcard ","")&amp;IF(AND($J247&lt;&gt;"",$J247&gt;365),"StalePwd ","")&amp;IF($K247="Yes","PwdNeverExpires ","")&amp;IF(AND($S247&lt;&gt;"",$S247&lt;&gt;"None"),"Delegation ","")&amp;IF(AND($Q247=1,$O247="None"),"StaleAdminCount ","")&amp;IF(AND($F247="Yes",$H247=""),"NeverLoggedOn ","")))</f>
        <v/>
      </c>
      <c r="AB247" s="60" t="n"/>
      <c r="AC247" s="61" t="n"/>
      <c r="AD247" s="60" t="n"/>
      <c r="AE247" s="62" t="n"/>
      <c r="AF247" s="62" t="n"/>
      <c r="AG247" s="62" t="n"/>
      <c r="AH247" s="60" t="n"/>
      <c r="AI247" s="61" t="n"/>
      <c r="AJ247" s="63">
        <f>IF($A247="","",IF(AF247="","Not Enrolled",IF(TODAY()&gt;AF247,"Review Overdue",IF(AF247-TODAY()&lt;=30,"Review Due Soon","Active"))))</f>
        <v/>
      </c>
      <c r="AK247" s="63">
        <f>IF($A247="","",IF(AG247="","NOT REVIEWED",IF(TODAY()-AG247&gt;90,"OVERDUE",IF(TODAY()-AG247&gt;76,"Due Soon","Current"))))</f>
        <v/>
      </c>
    </row>
    <row r="248" ht="15" customHeight="1" s="39">
      <c r="A248" s="60" t="n"/>
      <c r="B248" s="60" t="n"/>
      <c r="C248" s="61" t="n"/>
      <c r="D248" s="61" t="n"/>
      <c r="E248" s="60" t="n"/>
      <c r="F248" s="60" t="n"/>
      <c r="G248" s="62" t="n"/>
      <c r="H248" s="62" t="n"/>
      <c r="I248" s="62" t="n"/>
      <c r="J248" s="60" t="n"/>
      <c r="K248" s="60" t="n"/>
      <c r="L248" s="60" t="n"/>
      <c r="M248" s="61" t="n"/>
      <c r="N248" s="60" t="n"/>
      <c r="O248" s="60" t="n"/>
      <c r="P248" s="60" t="n"/>
      <c r="Q248" s="60" t="n"/>
      <c r="R248" s="60" t="n"/>
      <c r="S248" s="60" t="n"/>
      <c r="T248" s="60" t="n"/>
      <c r="U248" s="60" t="n"/>
      <c r="V248" s="60" t="n"/>
      <c r="W248" s="60" t="n"/>
      <c r="X248" s="60" t="n"/>
      <c r="Y248" s="63">
        <f>IF($H248="","",TODAY()-$H248)</f>
        <v/>
      </c>
      <c r="Z248" s="63">
        <f>IF($A248="","",IF(AND($F248="Yes",OR($U248="No",$U248="NOT FOUND")),"YES",""))</f>
        <v/>
      </c>
      <c r="AA248" s="66">
        <f>IF($A248="","",TRIM(IF(AND($P248=0,$L248&lt;&gt;"Yes"),"T0-NoSmartcard ","")&amp;IF(AND($J248&lt;&gt;"",$J248&gt;365),"StalePwd ","")&amp;IF($K248="Yes","PwdNeverExpires ","")&amp;IF(AND($S248&lt;&gt;"",$S248&lt;&gt;"None"),"Delegation ","")&amp;IF(AND($Q248=1,$O248="None"),"StaleAdminCount ","")&amp;IF(AND($F248="Yes",$H248=""),"NeverLoggedOn ","")))</f>
        <v/>
      </c>
      <c r="AB248" s="60" t="n"/>
      <c r="AC248" s="61" t="n"/>
      <c r="AD248" s="60" t="n"/>
      <c r="AE248" s="62" t="n"/>
      <c r="AF248" s="62" t="n"/>
      <c r="AG248" s="62" t="n"/>
      <c r="AH248" s="60" t="n"/>
      <c r="AI248" s="61" t="n"/>
      <c r="AJ248" s="63">
        <f>IF($A248="","",IF(AF248="","Not Enrolled",IF(TODAY()&gt;AF248,"Review Overdue",IF(AF248-TODAY()&lt;=30,"Review Due Soon","Active"))))</f>
        <v/>
      </c>
      <c r="AK248" s="63">
        <f>IF($A248="","",IF(AG248="","NOT REVIEWED",IF(TODAY()-AG248&gt;90,"OVERDUE",IF(TODAY()-AG248&gt;76,"Due Soon","Current"))))</f>
        <v/>
      </c>
    </row>
    <row r="249" ht="15" customHeight="1" s="39">
      <c r="A249" s="60" t="n"/>
      <c r="B249" s="60" t="n"/>
      <c r="C249" s="61" t="n"/>
      <c r="D249" s="61" t="n"/>
      <c r="E249" s="60" t="n"/>
      <c r="F249" s="60" t="n"/>
      <c r="G249" s="62" t="n"/>
      <c r="H249" s="62" t="n"/>
      <c r="I249" s="62" t="n"/>
      <c r="J249" s="60" t="n"/>
      <c r="K249" s="60" t="n"/>
      <c r="L249" s="60" t="n"/>
      <c r="M249" s="61" t="n"/>
      <c r="N249" s="60" t="n"/>
      <c r="O249" s="60" t="n"/>
      <c r="P249" s="60" t="n"/>
      <c r="Q249" s="60" t="n"/>
      <c r="R249" s="60" t="n"/>
      <c r="S249" s="60" t="n"/>
      <c r="T249" s="60" t="n"/>
      <c r="U249" s="60" t="n"/>
      <c r="V249" s="60" t="n"/>
      <c r="W249" s="60" t="n"/>
      <c r="X249" s="60" t="n"/>
      <c r="Y249" s="63">
        <f>IF($H249="","",TODAY()-$H249)</f>
        <v/>
      </c>
      <c r="Z249" s="63">
        <f>IF($A249="","",IF(AND($F249="Yes",OR($U249="No",$U249="NOT FOUND")),"YES",""))</f>
        <v/>
      </c>
      <c r="AA249" s="66">
        <f>IF($A249="","",TRIM(IF(AND($P249=0,$L249&lt;&gt;"Yes"),"T0-NoSmartcard ","")&amp;IF(AND($J249&lt;&gt;"",$J249&gt;365),"StalePwd ","")&amp;IF($K249="Yes","PwdNeverExpires ","")&amp;IF(AND($S249&lt;&gt;"",$S249&lt;&gt;"None"),"Delegation ","")&amp;IF(AND($Q249=1,$O249="None"),"StaleAdminCount ","")&amp;IF(AND($F249="Yes",$H249=""),"NeverLoggedOn ","")))</f>
        <v/>
      </c>
      <c r="AB249" s="60" t="n"/>
      <c r="AC249" s="61" t="n"/>
      <c r="AD249" s="60" t="n"/>
      <c r="AE249" s="62" t="n"/>
      <c r="AF249" s="62" t="n"/>
      <c r="AG249" s="62" t="n"/>
      <c r="AH249" s="60" t="n"/>
      <c r="AI249" s="61" t="n"/>
      <c r="AJ249" s="63">
        <f>IF($A249="","",IF(AF249="","Not Enrolled",IF(TODAY()&gt;AF249,"Review Overdue",IF(AF249-TODAY()&lt;=30,"Review Due Soon","Active"))))</f>
        <v/>
      </c>
      <c r="AK249" s="63">
        <f>IF($A249="","",IF(AG249="","NOT REVIEWED",IF(TODAY()-AG249&gt;90,"OVERDUE",IF(TODAY()-AG249&gt;76,"Due Soon","Current"))))</f>
        <v/>
      </c>
    </row>
    <row r="250" ht="15" customHeight="1" s="39">
      <c r="A250" s="60" t="n"/>
      <c r="B250" s="60" t="n"/>
      <c r="C250" s="61" t="n"/>
      <c r="D250" s="61" t="n"/>
      <c r="E250" s="60" t="n"/>
      <c r="F250" s="60" t="n"/>
      <c r="G250" s="62" t="n"/>
      <c r="H250" s="62" t="n"/>
      <c r="I250" s="62" t="n"/>
      <c r="J250" s="60" t="n"/>
      <c r="K250" s="60" t="n"/>
      <c r="L250" s="60" t="n"/>
      <c r="M250" s="61" t="n"/>
      <c r="N250" s="60" t="n"/>
      <c r="O250" s="60" t="n"/>
      <c r="P250" s="60" t="n"/>
      <c r="Q250" s="60" t="n"/>
      <c r="R250" s="60" t="n"/>
      <c r="S250" s="60" t="n"/>
      <c r="T250" s="60" t="n"/>
      <c r="U250" s="60" t="n"/>
      <c r="V250" s="60" t="n"/>
      <c r="W250" s="60" t="n"/>
      <c r="X250" s="60" t="n"/>
      <c r="Y250" s="63">
        <f>IF($H250="","",TODAY()-$H250)</f>
        <v/>
      </c>
      <c r="Z250" s="63">
        <f>IF($A250="","",IF(AND($F250="Yes",OR($U250="No",$U250="NOT FOUND")),"YES",""))</f>
        <v/>
      </c>
      <c r="AA250" s="66">
        <f>IF($A250="","",TRIM(IF(AND($P250=0,$L250&lt;&gt;"Yes"),"T0-NoSmartcard ","")&amp;IF(AND($J250&lt;&gt;"",$J250&gt;365),"StalePwd ","")&amp;IF($K250="Yes","PwdNeverExpires ","")&amp;IF(AND($S250&lt;&gt;"",$S250&lt;&gt;"None"),"Delegation ","")&amp;IF(AND($Q250=1,$O250="None"),"StaleAdminCount ","")&amp;IF(AND($F250="Yes",$H250=""),"NeverLoggedOn ","")))</f>
        <v/>
      </c>
      <c r="AB250" s="60" t="n"/>
      <c r="AC250" s="61" t="n"/>
      <c r="AD250" s="60" t="n"/>
      <c r="AE250" s="62" t="n"/>
      <c r="AF250" s="62" t="n"/>
      <c r="AG250" s="62" t="n"/>
      <c r="AH250" s="60" t="n"/>
      <c r="AI250" s="61" t="n"/>
      <c r="AJ250" s="63">
        <f>IF($A250="","",IF(AF250="","Not Enrolled",IF(TODAY()&gt;AF250,"Review Overdue",IF(AF250-TODAY()&lt;=30,"Review Due Soon","Active"))))</f>
        <v/>
      </c>
      <c r="AK250" s="63">
        <f>IF($A250="","",IF(AG250="","NOT REVIEWED",IF(TODAY()-AG250&gt;90,"OVERDUE",IF(TODAY()-AG250&gt;76,"Due Soon","Current"))))</f>
        <v/>
      </c>
    </row>
    <row r="251" ht="15" customHeight="1" s="39">
      <c r="A251" s="60" t="n"/>
      <c r="B251" s="60" t="n"/>
      <c r="C251" s="61" t="n"/>
      <c r="D251" s="61" t="n"/>
      <c r="E251" s="60" t="n"/>
      <c r="F251" s="60" t="n"/>
      <c r="G251" s="62" t="n"/>
      <c r="H251" s="62" t="n"/>
      <c r="I251" s="62" t="n"/>
      <c r="J251" s="60" t="n"/>
      <c r="K251" s="60" t="n"/>
      <c r="L251" s="60" t="n"/>
      <c r="M251" s="61" t="n"/>
      <c r="N251" s="60" t="n"/>
      <c r="O251" s="60" t="n"/>
      <c r="P251" s="60" t="n"/>
      <c r="Q251" s="60" t="n"/>
      <c r="R251" s="60" t="n"/>
      <c r="S251" s="60" t="n"/>
      <c r="T251" s="60" t="n"/>
      <c r="U251" s="60" t="n"/>
      <c r="V251" s="60" t="n"/>
      <c r="W251" s="60" t="n"/>
      <c r="X251" s="60" t="n"/>
      <c r="Y251" s="63">
        <f>IF($H251="","",TODAY()-$H251)</f>
        <v/>
      </c>
      <c r="Z251" s="63">
        <f>IF($A251="","",IF(AND($F251="Yes",OR($U251="No",$U251="NOT FOUND")),"YES",""))</f>
        <v/>
      </c>
      <c r="AA251" s="66">
        <f>IF($A251="","",TRIM(IF(AND($P251=0,$L251&lt;&gt;"Yes"),"T0-NoSmartcard ","")&amp;IF(AND($J251&lt;&gt;"",$J251&gt;365),"StalePwd ","")&amp;IF($K251="Yes","PwdNeverExpires ","")&amp;IF(AND($S251&lt;&gt;"",$S251&lt;&gt;"None"),"Delegation ","")&amp;IF(AND($Q251=1,$O251="None"),"StaleAdminCount ","")&amp;IF(AND($F251="Yes",$H251=""),"NeverLoggedOn ","")))</f>
        <v/>
      </c>
      <c r="AB251" s="60" t="n"/>
      <c r="AC251" s="61" t="n"/>
      <c r="AD251" s="60" t="n"/>
      <c r="AE251" s="62" t="n"/>
      <c r="AF251" s="62" t="n"/>
      <c r="AG251" s="62" t="n"/>
      <c r="AH251" s="60" t="n"/>
      <c r="AI251" s="61" t="n"/>
      <c r="AJ251" s="63">
        <f>IF($A251="","",IF(AF251="","Not Enrolled",IF(TODAY()&gt;AF251,"Review Overdue",IF(AF251-TODAY()&lt;=30,"Review Due Soon","Active"))))</f>
        <v/>
      </c>
      <c r="AK251" s="63">
        <f>IF($A251="","",IF(AG251="","NOT REVIEWED",IF(TODAY()-AG251&gt;90,"OVERDUE",IF(TODAY()-AG251&gt;76,"Due Soon","Current"))))</f>
        <v/>
      </c>
    </row>
    <row r="252" ht="15" customHeight="1" s="39">
      <c r="A252" s="60" t="n"/>
      <c r="B252" s="60" t="n"/>
      <c r="C252" s="61" t="n"/>
      <c r="D252" s="61" t="n"/>
      <c r="E252" s="60" t="n"/>
      <c r="F252" s="60" t="n"/>
      <c r="G252" s="62" t="n"/>
      <c r="H252" s="62" t="n"/>
      <c r="I252" s="62" t="n"/>
      <c r="J252" s="60" t="n"/>
      <c r="K252" s="60" t="n"/>
      <c r="L252" s="60" t="n"/>
      <c r="M252" s="61" t="n"/>
      <c r="N252" s="60" t="n"/>
      <c r="O252" s="60" t="n"/>
      <c r="P252" s="60" t="n"/>
      <c r="Q252" s="60" t="n"/>
      <c r="R252" s="60" t="n"/>
      <c r="S252" s="60" t="n"/>
      <c r="T252" s="60" t="n"/>
      <c r="U252" s="60" t="n"/>
      <c r="V252" s="60" t="n"/>
      <c r="W252" s="60" t="n"/>
      <c r="X252" s="60" t="n"/>
      <c r="Y252" s="63">
        <f>IF($H252="","",TODAY()-$H252)</f>
        <v/>
      </c>
      <c r="Z252" s="63">
        <f>IF($A252="","",IF(AND($F252="Yes",OR($U252="No",$U252="NOT FOUND")),"YES",""))</f>
        <v/>
      </c>
      <c r="AA252" s="66">
        <f>IF($A252="","",TRIM(IF(AND($P252=0,$L252&lt;&gt;"Yes"),"T0-NoSmartcard ","")&amp;IF(AND($J252&lt;&gt;"",$J252&gt;365),"StalePwd ","")&amp;IF($K252="Yes","PwdNeverExpires ","")&amp;IF(AND($S252&lt;&gt;"",$S252&lt;&gt;"None"),"Delegation ","")&amp;IF(AND($Q252=1,$O252="None"),"StaleAdminCount ","")&amp;IF(AND($F252="Yes",$H252=""),"NeverLoggedOn ","")))</f>
        <v/>
      </c>
      <c r="AB252" s="60" t="n"/>
      <c r="AC252" s="61" t="n"/>
      <c r="AD252" s="60" t="n"/>
      <c r="AE252" s="62" t="n"/>
      <c r="AF252" s="62" t="n"/>
      <c r="AG252" s="62" t="n"/>
      <c r="AH252" s="60" t="n"/>
      <c r="AI252" s="61" t="n"/>
      <c r="AJ252" s="63">
        <f>IF($A252="","",IF(AF252="","Not Enrolled",IF(TODAY()&gt;AF252,"Review Overdue",IF(AF252-TODAY()&lt;=30,"Review Due Soon","Active"))))</f>
        <v/>
      </c>
      <c r="AK252" s="63">
        <f>IF($A252="","",IF(AG252="","NOT REVIEWED",IF(TODAY()-AG252&gt;90,"OVERDUE",IF(TODAY()-AG252&gt;76,"Due Soon","Current"))))</f>
        <v/>
      </c>
    </row>
    <row r="253" ht="15" customHeight="1" s="39">
      <c r="A253" s="60" t="n"/>
      <c r="B253" s="60" t="n"/>
      <c r="C253" s="61" t="n"/>
      <c r="D253" s="61" t="n"/>
      <c r="E253" s="60" t="n"/>
      <c r="F253" s="60" t="n"/>
      <c r="G253" s="62" t="n"/>
      <c r="H253" s="62" t="n"/>
      <c r="I253" s="62" t="n"/>
      <c r="J253" s="60" t="n"/>
      <c r="K253" s="60" t="n"/>
      <c r="L253" s="60" t="n"/>
      <c r="M253" s="61" t="n"/>
      <c r="N253" s="60" t="n"/>
      <c r="O253" s="60" t="n"/>
      <c r="P253" s="60" t="n"/>
      <c r="Q253" s="60" t="n"/>
      <c r="R253" s="60" t="n"/>
      <c r="S253" s="60" t="n"/>
      <c r="T253" s="60" t="n"/>
      <c r="U253" s="60" t="n"/>
      <c r="V253" s="60" t="n"/>
      <c r="W253" s="60" t="n"/>
      <c r="X253" s="60" t="n"/>
      <c r="Y253" s="63">
        <f>IF($H253="","",TODAY()-$H253)</f>
        <v/>
      </c>
      <c r="Z253" s="63">
        <f>IF($A253="","",IF(AND($F253="Yes",OR($U253="No",$U253="NOT FOUND")),"YES",""))</f>
        <v/>
      </c>
      <c r="AA253" s="66">
        <f>IF($A253="","",TRIM(IF(AND($P253=0,$L253&lt;&gt;"Yes"),"T0-NoSmartcard ","")&amp;IF(AND($J253&lt;&gt;"",$J253&gt;365),"StalePwd ","")&amp;IF($K253="Yes","PwdNeverExpires ","")&amp;IF(AND($S253&lt;&gt;"",$S253&lt;&gt;"None"),"Delegation ","")&amp;IF(AND($Q253=1,$O253="None"),"StaleAdminCount ","")&amp;IF(AND($F253="Yes",$H253=""),"NeverLoggedOn ","")))</f>
        <v/>
      </c>
      <c r="AB253" s="60" t="n"/>
      <c r="AC253" s="61" t="n"/>
      <c r="AD253" s="60" t="n"/>
      <c r="AE253" s="62" t="n"/>
      <c r="AF253" s="62" t="n"/>
      <c r="AG253" s="62" t="n"/>
      <c r="AH253" s="60" t="n"/>
      <c r="AI253" s="61" t="n"/>
      <c r="AJ253" s="63">
        <f>IF($A253="","",IF(AF253="","Not Enrolled",IF(TODAY()&gt;AF253,"Review Overdue",IF(AF253-TODAY()&lt;=30,"Review Due Soon","Active"))))</f>
        <v/>
      </c>
      <c r="AK253" s="63">
        <f>IF($A253="","",IF(AG253="","NOT REVIEWED",IF(TODAY()-AG253&gt;90,"OVERDUE",IF(TODAY()-AG253&gt;76,"Due Soon","Current"))))</f>
        <v/>
      </c>
    </row>
    <row r="254" ht="15" customHeight="1" s="39">
      <c r="A254" s="60" t="n"/>
      <c r="B254" s="60" t="n"/>
      <c r="C254" s="61" t="n"/>
      <c r="D254" s="61" t="n"/>
      <c r="E254" s="60" t="n"/>
      <c r="F254" s="60" t="n"/>
      <c r="G254" s="62" t="n"/>
      <c r="H254" s="62" t="n"/>
      <c r="I254" s="62" t="n"/>
      <c r="J254" s="60" t="n"/>
      <c r="K254" s="60" t="n"/>
      <c r="L254" s="60" t="n"/>
      <c r="M254" s="61" t="n"/>
      <c r="N254" s="60" t="n"/>
      <c r="O254" s="60" t="n"/>
      <c r="P254" s="60" t="n"/>
      <c r="Q254" s="60" t="n"/>
      <c r="R254" s="60" t="n"/>
      <c r="S254" s="60" t="n"/>
      <c r="T254" s="60" t="n"/>
      <c r="U254" s="60" t="n"/>
      <c r="V254" s="60" t="n"/>
      <c r="W254" s="60" t="n"/>
      <c r="X254" s="60" t="n"/>
      <c r="Y254" s="63">
        <f>IF($H254="","",TODAY()-$H254)</f>
        <v/>
      </c>
      <c r="Z254" s="63">
        <f>IF($A254="","",IF(AND($F254="Yes",OR($U254="No",$U254="NOT FOUND")),"YES",""))</f>
        <v/>
      </c>
      <c r="AA254" s="66">
        <f>IF($A254="","",TRIM(IF(AND($P254=0,$L254&lt;&gt;"Yes"),"T0-NoSmartcard ","")&amp;IF(AND($J254&lt;&gt;"",$J254&gt;365),"StalePwd ","")&amp;IF($K254="Yes","PwdNeverExpires ","")&amp;IF(AND($S254&lt;&gt;"",$S254&lt;&gt;"None"),"Delegation ","")&amp;IF(AND($Q254=1,$O254="None"),"StaleAdminCount ","")&amp;IF(AND($F254="Yes",$H254=""),"NeverLoggedOn ","")))</f>
        <v/>
      </c>
      <c r="AB254" s="60" t="n"/>
      <c r="AC254" s="61" t="n"/>
      <c r="AD254" s="60" t="n"/>
      <c r="AE254" s="62" t="n"/>
      <c r="AF254" s="62" t="n"/>
      <c r="AG254" s="62" t="n"/>
      <c r="AH254" s="60" t="n"/>
      <c r="AI254" s="61" t="n"/>
      <c r="AJ254" s="63">
        <f>IF($A254="","",IF(AF254="","Not Enrolled",IF(TODAY()&gt;AF254,"Review Overdue",IF(AF254-TODAY()&lt;=30,"Review Due Soon","Active"))))</f>
        <v/>
      </c>
      <c r="AK254" s="63">
        <f>IF($A254="","",IF(AG254="","NOT REVIEWED",IF(TODAY()-AG254&gt;90,"OVERDUE",IF(TODAY()-AG254&gt;76,"Due Soon","Current"))))</f>
        <v/>
      </c>
    </row>
    <row r="255" ht="15" customHeight="1" s="39">
      <c r="A255" s="60" t="n"/>
      <c r="B255" s="60" t="n"/>
      <c r="C255" s="61" t="n"/>
      <c r="D255" s="61" t="n"/>
      <c r="E255" s="60" t="n"/>
      <c r="F255" s="60" t="n"/>
      <c r="G255" s="62" t="n"/>
      <c r="H255" s="62" t="n"/>
      <c r="I255" s="62" t="n"/>
      <c r="J255" s="60" t="n"/>
      <c r="K255" s="60" t="n"/>
      <c r="L255" s="60" t="n"/>
      <c r="M255" s="61" t="n"/>
      <c r="N255" s="60" t="n"/>
      <c r="O255" s="60" t="n"/>
      <c r="P255" s="60" t="n"/>
      <c r="Q255" s="60" t="n"/>
      <c r="R255" s="60" t="n"/>
      <c r="S255" s="60" t="n"/>
      <c r="T255" s="60" t="n"/>
      <c r="U255" s="60" t="n"/>
      <c r="V255" s="60" t="n"/>
      <c r="W255" s="60" t="n"/>
      <c r="X255" s="60" t="n"/>
      <c r="Y255" s="63">
        <f>IF($H255="","",TODAY()-$H255)</f>
        <v/>
      </c>
      <c r="Z255" s="63">
        <f>IF($A255="","",IF(AND($F255="Yes",OR($U255="No",$U255="NOT FOUND")),"YES",""))</f>
        <v/>
      </c>
      <c r="AA255" s="66">
        <f>IF($A255="","",TRIM(IF(AND($P255=0,$L255&lt;&gt;"Yes"),"T0-NoSmartcard ","")&amp;IF(AND($J255&lt;&gt;"",$J255&gt;365),"StalePwd ","")&amp;IF($K255="Yes","PwdNeverExpires ","")&amp;IF(AND($S255&lt;&gt;"",$S255&lt;&gt;"None"),"Delegation ","")&amp;IF(AND($Q255=1,$O255="None"),"StaleAdminCount ","")&amp;IF(AND($F255="Yes",$H255=""),"NeverLoggedOn ","")))</f>
        <v/>
      </c>
      <c r="AB255" s="60" t="n"/>
      <c r="AC255" s="61" t="n"/>
      <c r="AD255" s="60" t="n"/>
      <c r="AE255" s="62" t="n"/>
      <c r="AF255" s="62" t="n"/>
      <c r="AG255" s="62" t="n"/>
      <c r="AH255" s="60" t="n"/>
      <c r="AI255" s="61" t="n"/>
      <c r="AJ255" s="63">
        <f>IF($A255="","",IF(AF255="","Not Enrolled",IF(TODAY()&gt;AF255,"Review Overdue",IF(AF255-TODAY()&lt;=30,"Review Due Soon","Active"))))</f>
        <v/>
      </c>
      <c r="AK255" s="63">
        <f>IF($A255="","",IF(AG255="","NOT REVIEWED",IF(TODAY()-AG255&gt;90,"OVERDUE",IF(TODAY()-AG255&gt;76,"Due Soon","Current"))))</f>
        <v/>
      </c>
    </row>
    <row r="256" ht="15" customHeight="1" s="39">
      <c r="A256" s="60" t="n"/>
      <c r="B256" s="60" t="n"/>
      <c r="C256" s="61" t="n"/>
      <c r="D256" s="61" t="n"/>
      <c r="E256" s="60" t="n"/>
      <c r="F256" s="60" t="n"/>
      <c r="G256" s="62" t="n"/>
      <c r="H256" s="62" t="n"/>
      <c r="I256" s="62" t="n"/>
      <c r="J256" s="60" t="n"/>
      <c r="K256" s="60" t="n"/>
      <c r="L256" s="60" t="n"/>
      <c r="M256" s="61" t="n"/>
      <c r="N256" s="60" t="n"/>
      <c r="O256" s="60" t="n"/>
      <c r="P256" s="60" t="n"/>
      <c r="Q256" s="60" t="n"/>
      <c r="R256" s="60" t="n"/>
      <c r="S256" s="60" t="n"/>
      <c r="T256" s="60" t="n"/>
      <c r="U256" s="60" t="n"/>
      <c r="V256" s="60" t="n"/>
      <c r="W256" s="60" t="n"/>
      <c r="X256" s="60" t="n"/>
      <c r="Y256" s="63">
        <f>IF($H256="","",TODAY()-$H256)</f>
        <v/>
      </c>
      <c r="Z256" s="63">
        <f>IF($A256="","",IF(AND($F256="Yes",OR($U256="No",$U256="NOT FOUND")),"YES",""))</f>
        <v/>
      </c>
      <c r="AA256" s="66">
        <f>IF($A256="","",TRIM(IF(AND($P256=0,$L256&lt;&gt;"Yes"),"T0-NoSmartcard ","")&amp;IF(AND($J256&lt;&gt;"",$J256&gt;365),"StalePwd ","")&amp;IF($K256="Yes","PwdNeverExpires ","")&amp;IF(AND($S256&lt;&gt;"",$S256&lt;&gt;"None"),"Delegation ","")&amp;IF(AND($Q256=1,$O256="None"),"StaleAdminCount ","")&amp;IF(AND($F256="Yes",$H256=""),"NeverLoggedOn ","")))</f>
        <v/>
      </c>
      <c r="AB256" s="60" t="n"/>
      <c r="AC256" s="61" t="n"/>
      <c r="AD256" s="60" t="n"/>
      <c r="AE256" s="62" t="n"/>
      <c r="AF256" s="62" t="n"/>
      <c r="AG256" s="62" t="n"/>
      <c r="AH256" s="60" t="n"/>
      <c r="AI256" s="61" t="n"/>
      <c r="AJ256" s="63">
        <f>IF($A256="","",IF(AF256="","Not Enrolled",IF(TODAY()&gt;AF256,"Review Overdue",IF(AF256-TODAY()&lt;=30,"Review Due Soon","Active"))))</f>
        <v/>
      </c>
      <c r="AK256" s="63">
        <f>IF($A256="","",IF(AG256="","NOT REVIEWED",IF(TODAY()-AG256&gt;90,"OVERDUE",IF(TODAY()-AG256&gt;76,"Due Soon","Current"))))</f>
        <v/>
      </c>
    </row>
    <row r="257" ht="15" customHeight="1" s="39">
      <c r="A257" s="60" t="n"/>
      <c r="B257" s="60" t="n"/>
      <c r="C257" s="61" t="n"/>
      <c r="D257" s="61" t="n"/>
      <c r="E257" s="60" t="n"/>
      <c r="F257" s="60" t="n"/>
      <c r="G257" s="62" t="n"/>
      <c r="H257" s="62" t="n"/>
      <c r="I257" s="62" t="n"/>
      <c r="J257" s="60" t="n"/>
      <c r="K257" s="60" t="n"/>
      <c r="L257" s="60" t="n"/>
      <c r="M257" s="61" t="n"/>
      <c r="N257" s="60" t="n"/>
      <c r="O257" s="60" t="n"/>
      <c r="P257" s="60" t="n"/>
      <c r="Q257" s="60" t="n"/>
      <c r="R257" s="60" t="n"/>
      <c r="S257" s="60" t="n"/>
      <c r="T257" s="60" t="n"/>
      <c r="U257" s="60" t="n"/>
      <c r="V257" s="60" t="n"/>
      <c r="W257" s="60" t="n"/>
      <c r="X257" s="60" t="n"/>
      <c r="Y257" s="63">
        <f>IF($H257="","",TODAY()-$H257)</f>
        <v/>
      </c>
      <c r="Z257" s="63">
        <f>IF($A257="","",IF(AND($F257="Yes",OR($U257="No",$U257="NOT FOUND")),"YES",""))</f>
        <v/>
      </c>
      <c r="AA257" s="66">
        <f>IF($A257="","",TRIM(IF(AND($P257=0,$L257&lt;&gt;"Yes"),"T0-NoSmartcard ","")&amp;IF(AND($J257&lt;&gt;"",$J257&gt;365),"StalePwd ","")&amp;IF($K257="Yes","PwdNeverExpires ","")&amp;IF(AND($S257&lt;&gt;"",$S257&lt;&gt;"None"),"Delegation ","")&amp;IF(AND($Q257=1,$O257="None"),"StaleAdminCount ","")&amp;IF(AND($F257="Yes",$H257=""),"NeverLoggedOn ","")))</f>
        <v/>
      </c>
      <c r="AB257" s="60" t="n"/>
      <c r="AC257" s="61" t="n"/>
      <c r="AD257" s="60" t="n"/>
      <c r="AE257" s="62" t="n"/>
      <c r="AF257" s="62" t="n"/>
      <c r="AG257" s="62" t="n"/>
      <c r="AH257" s="60" t="n"/>
      <c r="AI257" s="61" t="n"/>
      <c r="AJ257" s="63">
        <f>IF($A257="","",IF(AF257="","Not Enrolled",IF(TODAY()&gt;AF257,"Review Overdue",IF(AF257-TODAY()&lt;=30,"Review Due Soon","Active"))))</f>
        <v/>
      </c>
      <c r="AK257" s="63">
        <f>IF($A257="","",IF(AG257="","NOT REVIEWED",IF(TODAY()-AG257&gt;90,"OVERDUE",IF(TODAY()-AG257&gt;76,"Due Soon","Current"))))</f>
        <v/>
      </c>
    </row>
    <row r="258" ht="15" customHeight="1" s="39">
      <c r="A258" s="60" t="n"/>
      <c r="B258" s="60" t="n"/>
      <c r="C258" s="61" t="n"/>
      <c r="D258" s="61" t="n"/>
      <c r="E258" s="60" t="n"/>
      <c r="F258" s="60" t="n"/>
      <c r="G258" s="62" t="n"/>
      <c r="H258" s="62" t="n"/>
      <c r="I258" s="62" t="n"/>
      <c r="J258" s="60" t="n"/>
      <c r="K258" s="60" t="n"/>
      <c r="L258" s="60" t="n"/>
      <c r="M258" s="61" t="n"/>
      <c r="N258" s="60" t="n"/>
      <c r="O258" s="60" t="n"/>
      <c r="P258" s="60" t="n"/>
      <c r="Q258" s="60" t="n"/>
      <c r="R258" s="60" t="n"/>
      <c r="S258" s="60" t="n"/>
      <c r="T258" s="60" t="n"/>
      <c r="U258" s="60" t="n"/>
      <c r="V258" s="60" t="n"/>
      <c r="W258" s="60" t="n"/>
      <c r="X258" s="60" t="n"/>
      <c r="Y258" s="63">
        <f>IF($H258="","",TODAY()-$H258)</f>
        <v/>
      </c>
      <c r="Z258" s="63">
        <f>IF($A258="","",IF(AND($F258="Yes",OR($U258="No",$U258="NOT FOUND")),"YES",""))</f>
        <v/>
      </c>
      <c r="AA258" s="66">
        <f>IF($A258="","",TRIM(IF(AND($P258=0,$L258&lt;&gt;"Yes"),"T0-NoSmartcard ","")&amp;IF(AND($J258&lt;&gt;"",$J258&gt;365),"StalePwd ","")&amp;IF($K258="Yes","PwdNeverExpires ","")&amp;IF(AND($S258&lt;&gt;"",$S258&lt;&gt;"None"),"Delegation ","")&amp;IF(AND($Q258=1,$O258="None"),"StaleAdminCount ","")&amp;IF(AND($F258="Yes",$H258=""),"NeverLoggedOn ","")))</f>
        <v/>
      </c>
      <c r="AB258" s="60" t="n"/>
      <c r="AC258" s="61" t="n"/>
      <c r="AD258" s="60" t="n"/>
      <c r="AE258" s="62" t="n"/>
      <c r="AF258" s="62" t="n"/>
      <c r="AG258" s="62" t="n"/>
      <c r="AH258" s="60" t="n"/>
      <c r="AI258" s="61" t="n"/>
      <c r="AJ258" s="63">
        <f>IF($A258="","",IF(AF258="","Not Enrolled",IF(TODAY()&gt;AF258,"Review Overdue",IF(AF258-TODAY()&lt;=30,"Review Due Soon","Active"))))</f>
        <v/>
      </c>
      <c r="AK258" s="63">
        <f>IF($A258="","",IF(AG258="","NOT REVIEWED",IF(TODAY()-AG258&gt;90,"OVERDUE",IF(TODAY()-AG258&gt;76,"Due Soon","Current"))))</f>
        <v/>
      </c>
    </row>
    <row r="259" ht="15" customHeight="1" s="39">
      <c r="A259" s="60" t="n"/>
      <c r="B259" s="60" t="n"/>
      <c r="C259" s="61" t="n"/>
      <c r="D259" s="61" t="n"/>
      <c r="E259" s="60" t="n"/>
      <c r="F259" s="60" t="n"/>
      <c r="G259" s="62" t="n"/>
      <c r="H259" s="62" t="n"/>
      <c r="I259" s="62" t="n"/>
      <c r="J259" s="60" t="n"/>
      <c r="K259" s="60" t="n"/>
      <c r="L259" s="60" t="n"/>
      <c r="M259" s="61" t="n"/>
      <c r="N259" s="60" t="n"/>
      <c r="O259" s="60" t="n"/>
      <c r="P259" s="60" t="n"/>
      <c r="Q259" s="60" t="n"/>
      <c r="R259" s="60" t="n"/>
      <c r="S259" s="60" t="n"/>
      <c r="T259" s="60" t="n"/>
      <c r="U259" s="60" t="n"/>
      <c r="V259" s="60" t="n"/>
      <c r="W259" s="60" t="n"/>
      <c r="X259" s="60" t="n"/>
      <c r="Y259" s="63">
        <f>IF($H259="","",TODAY()-$H259)</f>
        <v/>
      </c>
      <c r="Z259" s="63">
        <f>IF($A259="","",IF(AND($F259="Yes",OR($U259="No",$U259="NOT FOUND")),"YES",""))</f>
        <v/>
      </c>
      <c r="AA259" s="66">
        <f>IF($A259="","",TRIM(IF(AND($P259=0,$L259&lt;&gt;"Yes"),"T0-NoSmartcard ","")&amp;IF(AND($J259&lt;&gt;"",$J259&gt;365),"StalePwd ","")&amp;IF($K259="Yes","PwdNeverExpires ","")&amp;IF(AND($S259&lt;&gt;"",$S259&lt;&gt;"None"),"Delegation ","")&amp;IF(AND($Q259=1,$O259="None"),"StaleAdminCount ","")&amp;IF(AND($F259="Yes",$H259=""),"NeverLoggedOn ","")))</f>
        <v/>
      </c>
      <c r="AB259" s="60" t="n"/>
      <c r="AC259" s="61" t="n"/>
      <c r="AD259" s="60" t="n"/>
      <c r="AE259" s="62" t="n"/>
      <c r="AF259" s="62" t="n"/>
      <c r="AG259" s="62" t="n"/>
      <c r="AH259" s="60" t="n"/>
      <c r="AI259" s="61" t="n"/>
      <c r="AJ259" s="63">
        <f>IF($A259="","",IF(AF259="","Not Enrolled",IF(TODAY()&gt;AF259,"Review Overdue",IF(AF259-TODAY()&lt;=30,"Review Due Soon","Active"))))</f>
        <v/>
      </c>
      <c r="AK259" s="63">
        <f>IF($A259="","",IF(AG259="","NOT REVIEWED",IF(TODAY()-AG259&gt;90,"OVERDUE",IF(TODAY()-AG259&gt;76,"Due Soon","Current"))))</f>
        <v/>
      </c>
    </row>
    <row r="260" ht="15" customHeight="1" s="39">
      <c r="A260" s="60" t="n"/>
      <c r="B260" s="60" t="n"/>
      <c r="C260" s="61" t="n"/>
      <c r="D260" s="61" t="n"/>
      <c r="E260" s="60" t="n"/>
      <c r="F260" s="60" t="n"/>
      <c r="G260" s="62" t="n"/>
      <c r="H260" s="62" t="n"/>
      <c r="I260" s="62" t="n"/>
      <c r="J260" s="60" t="n"/>
      <c r="K260" s="60" t="n"/>
      <c r="L260" s="60" t="n"/>
      <c r="M260" s="61" t="n"/>
      <c r="N260" s="60" t="n"/>
      <c r="O260" s="60" t="n"/>
      <c r="P260" s="60" t="n"/>
      <c r="Q260" s="60" t="n"/>
      <c r="R260" s="60" t="n"/>
      <c r="S260" s="60" t="n"/>
      <c r="T260" s="60" t="n"/>
      <c r="U260" s="60" t="n"/>
      <c r="V260" s="60" t="n"/>
      <c r="W260" s="60" t="n"/>
      <c r="X260" s="60" t="n"/>
      <c r="Y260" s="63">
        <f>IF($H260="","",TODAY()-$H260)</f>
        <v/>
      </c>
      <c r="Z260" s="63">
        <f>IF($A260="","",IF(AND($F260="Yes",OR($U260="No",$U260="NOT FOUND")),"YES",""))</f>
        <v/>
      </c>
      <c r="AA260" s="66">
        <f>IF($A260="","",TRIM(IF(AND($P260=0,$L260&lt;&gt;"Yes"),"T0-NoSmartcard ","")&amp;IF(AND($J260&lt;&gt;"",$J260&gt;365),"StalePwd ","")&amp;IF($K260="Yes","PwdNeverExpires ","")&amp;IF(AND($S260&lt;&gt;"",$S260&lt;&gt;"None"),"Delegation ","")&amp;IF(AND($Q260=1,$O260="None"),"StaleAdminCount ","")&amp;IF(AND($F260="Yes",$H260=""),"NeverLoggedOn ","")))</f>
        <v/>
      </c>
      <c r="AB260" s="60" t="n"/>
      <c r="AC260" s="61" t="n"/>
      <c r="AD260" s="60" t="n"/>
      <c r="AE260" s="62" t="n"/>
      <c r="AF260" s="62" t="n"/>
      <c r="AG260" s="62" t="n"/>
      <c r="AH260" s="60" t="n"/>
      <c r="AI260" s="61" t="n"/>
      <c r="AJ260" s="63">
        <f>IF($A260="","",IF(AF260="","Not Enrolled",IF(TODAY()&gt;AF260,"Review Overdue",IF(AF260-TODAY()&lt;=30,"Review Due Soon","Active"))))</f>
        <v/>
      </c>
      <c r="AK260" s="63">
        <f>IF($A260="","",IF(AG260="","NOT REVIEWED",IF(TODAY()-AG260&gt;90,"OVERDUE",IF(TODAY()-AG260&gt;76,"Due Soon","Current"))))</f>
        <v/>
      </c>
    </row>
    <row r="261" ht="15" customHeight="1" s="39">
      <c r="A261" s="60" t="n"/>
      <c r="B261" s="60" t="n"/>
      <c r="C261" s="61" t="n"/>
      <c r="D261" s="61" t="n"/>
      <c r="E261" s="60" t="n"/>
      <c r="F261" s="60" t="n"/>
      <c r="G261" s="62" t="n"/>
      <c r="H261" s="62" t="n"/>
      <c r="I261" s="62" t="n"/>
      <c r="J261" s="60" t="n"/>
      <c r="K261" s="60" t="n"/>
      <c r="L261" s="60" t="n"/>
      <c r="M261" s="61" t="n"/>
      <c r="N261" s="60" t="n"/>
      <c r="O261" s="60" t="n"/>
      <c r="P261" s="60" t="n"/>
      <c r="Q261" s="60" t="n"/>
      <c r="R261" s="60" t="n"/>
      <c r="S261" s="60" t="n"/>
      <c r="T261" s="60" t="n"/>
      <c r="U261" s="60" t="n"/>
      <c r="V261" s="60" t="n"/>
      <c r="W261" s="60" t="n"/>
      <c r="X261" s="60" t="n"/>
      <c r="Y261" s="63">
        <f>IF($H261="","",TODAY()-$H261)</f>
        <v/>
      </c>
      <c r="Z261" s="63">
        <f>IF($A261="","",IF(AND($F261="Yes",OR($U261="No",$U261="NOT FOUND")),"YES",""))</f>
        <v/>
      </c>
      <c r="AA261" s="66">
        <f>IF($A261="","",TRIM(IF(AND($P261=0,$L261&lt;&gt;"Yes"),"T0-NoSmartcard ","")&amp;IF(AND($J261&lt;&gt;"",$J261&gt;365),"StalePwd ","")&amp;IF($K261="Yes","PwdNeverExpires ","")&amp;IF(AND($S261&lt;&gt;"",$S261&lt;&gt;"None"),"Delegation ","")&amp;IF(AND($Q261=1,$O261="None"),"StaleAdminCount ","")&amp;IF(AND($F261="Yes",$H261=""),"NeverLoggedOn ","")))</f>
        <v/>
      </c>
      <c r="AB261" s="60" t="n"/>
      <c r="AC261" s="61" t="n"/>
      <c r="AD261" s="60" t="n"/>
      <c r="AE261" s="62" t="n"/>
      <c r="AF261" s="62" t="n"/>
      <c r="AG261" s="62" t="n"/>
      <c r="AH261" s="60" t="n"/>
      <c r="AI261" s="61" t="n"/>
      <c r="AJ261" s="63">
        <f>IF($A261="","",IF(AF261="","Not Enrolled",IF(TODAY()&gt;AF261,"Review Overdue",IF(AF261-TODAY()&lt;=30,"Review Due Soon","Active"))))</f>
        <v/>
      </c>
      <c r="AK261" s="63">
        <f>IF($A261="","",IF(AG261="","NOT REVIEWED",IF(TODAY()-AG261&gt;90,"OVERDUE",IF(TODAY()-AG261&gt;76,"Due Soon","Current"))))</f>
        <v/>
      </c>
    </row>
    <row r="262" ht="15" customHeight="1" s="39">
      <c r="A262" s="60" t="n"/>
      <c r="B262" s="60" t="n"/>
      <c r="C262" s="61" t="n"/>
      <c r="D262" s="61" t="n"/>
      <c r="E262" s="60" t="n"/>
      <c r="F262" s="60" t="n"/>
      <c r="G262" s="62" t="n"/>
      <c r="H262" s="62" t="n"/>
      <c r="I262" s="62" t="n"/>
      <c r="J262" s="60" t="n"/>
      <c r="K262" s="60" t="n"/>
      <c r="L262" s="60" t="n"/>
      <c r="M262" s="61" t="n"/>
      <c r="N262" s="60" t="n"/>
      <c r="O262" s="60" t="n"/>
      <c r="P262" s="60" t="n"/>
      <c r="Q262" s="60" t="n"/>
      <c r="R262" s="60" t="n"/>
      <c r="S262" s="60" t="n"/>
      <c r="T262" s="60" t="n"/>
      <c r="U262" s="60" t="n"/>
      <c r="V262" s="60" t="n"/>
      <c r="W262" s="60" t="n"/>
      <c r="X262" s="60" t="n"/>
      <c r="Y262" s="63">
        <f>IF($H262="","",TODAY()-$H262)</f>
        <v/>
      </c>
      <c r="Z262" s="63">
        <f>IF($A262="","",IF(AND($F262="Yes",OR($U262="No",$U262="NOT FOUND")),"YES",""))</f>
        <v/>
      </c>
      <c r="AA262" s="66">
        <f>IF($A262="","",TRIM(IF(AND($P262=0,$L262&lt;&gt;"Yes"),"T0-NoSmartcard ","")&amp;IF(AND($J262&lt;&gt;"",$J262&gt;365),"StalePwd ","")&amp;IF($K262="Yes","PwdNeverExpires ","")&amp;IF(AND($S262&lt;&gt;"",$S262&lt;&gt;"None"),"Delegation ","")&amp;IF(AND($Q262=1,$O262="None"),"StaleAdminCount ","")&amp;IF(AND($F262="Yes",$H262=""),"NeverLoggedOn ","")))</f>
        <v/>
      </c>
      <c r="AB262" s="60" t="n"/>
      <c r="AC262" s="61" t="n"/>
      <c r="AD262" s="60" t="n"/>
      <c r="AE262" s="62" t="n"/>
      <c r="AF262" s="62" t="n"/>
      <c r="AG262" s="62" t="n"/>
      <c r="AH262" s="60" t="n"/>
      <c r="AI262" s="61" t="n"/>
      <c r="AJ262" s="63">
        <f>IF($A262="","",IF(AF262="","Not Enrolled",IF(TODAY()&gt;AF262,"Review Overdue",IF(AF262-TODAY()&lt;=30,"Review Due Soon","Active"))))</f>
        <v/>
      </c>
      <c r="AK262" s="63">
        <f>IF($A262="","",IF(AG262="","NOT REVIEWED",IF(TODAY()-AG262&gt;90,"OVERDUE",IF(TODAY()-AG262&gt;76,"Due Soon","Current"))))</f>
        <v/>
      </c>
    </row>
    <row r="263" ht="15" customHeight="1" s="39">
      <c r="A263" s="60" t="n"/>
      <c r="B263" s="60" t="n"/>
      <c r="C263" s="61" t="n"/>
      <c r="D263" s="61" t="n"/>
      <c r="E263" s="60" t="n"/>
      <c r="F263" s="60" t="n"/>
      <c r="G263" s="62" t="n"/>
      <c r="H263" s="62" t="n"/>
      <c r="I263" s="62" t="n"/>
      <c r="J263" s="60" t="n"/>
      <c r="K263" s="60" t="n"/>
      <c r="L263" s="60" t="n"/>
      <c r="M263" s="61" t="n"/>
      <c r="N263" s="60" t="n"/>
      <c r="O263" s="60" t="n"/>
      <c r="P263" s="60" t="n"/>
      <c r="Q263" s="60" t="n"/>
      <c r="R263" s="60" t="n"/>
      <c r="S263" s="60" t="n"/>
      <c r="T263" s="60" t="n"/>
      <c r="U263" s="60" t="n"/>
      <c r="V263" s="60" t="n"/>
      <c r="W263" s="60" t="n"/>
      <c r="X263" s="60" t="n"/>
      <c r="Y263" s="63">
        <f>IF($H263="","",TODAY()-$H263)</f>
        <v/>
      </c>
      <c r="Z263" s="63">
        <f>IF($A263="","",IF(AND($F263="Yes",OR($U263="No",$U263="NOT FOUND")),"YES",""))</f>
        <v/>
      </c>
      <c r="AA263" s="66">
        <f>IF($A263="","",TRIM(IF(AND($P263=0,$L263&lt;&gt;"Yes"),"T0-NoSmartcard ","")&amp;IF(AND($J263&lt;&gt;"",$J263&gt;365),"StalePwd ","")&amp;IF($K263="Yes","PwdNeverExpires ","")&amp;IF(AND($S263&lt;&gt;"",$S263&lt;&gt;"None"),"Delegation ","")&amp;IF(AND($Q263=1,$O263="None"),"StaleAdminCount ","")&amp;IF(AND($F263="Yes",$H263=""),"NeverLoggedOn ","")))</f>
        <v/>
      </c>
      <c r="AB263" s="60" t="n"/>
      <c r="AC263" s="61" t="n"/>
      <c r="AD263" s="60" t="n"/>
      <c r="AE263" s="62" t="n"/>
      <c r="AF263" s="62" t="n"/>
      <c r="AG263" s="62" t="n"/>
      <c r="AH263" s="60" t="n"/>
      <c r="AI263" s="61" t="n"/>
      <c r="AJ263" s="63">
        <f>IF($A263="","",IF(AF263="","Not Enrolled",IF(TODAY()&gt;AF263,"Review Overdue",IF(AF263-TODAY()&lt;=30,"Review Due Soon","Active"))))</f>
        <v/>
      </c>
      <c r="AK263" s="63">
        <f>IF($A263="","",IF(AG263="","NOT REVIEWED",IF(TODAY()-AG263&gt;90,"OVERDUE",IF(TODAY()-AG263&gt;76,"Due Soon","Current"))))</f>
        <v/>
      </c>
    </row>
    <row r="264" ht="15" customHeight="1" s="39">
      <c r="A264" s="60" t="n"/>
      <c r="B264" s="60" t="n"/>
      <c r="C264" s="61" t="n"/>
      <c r="D264" s="61" t="n"/>
      <c r="E264" s="60" t="n"/>
      <c r="F264" s="60" t="n"/>
      <c r="G264" s="62" t="n"/>
      <c r="H264" s="62" t="n"/>
      <c r="I264" s="62" t="n"/>
      <c r="J264" s="60" t="n"/>
      <c r="K264" s="60" t="n"/>
      <c r="L264" s="60" t="n"/>
      <c r="M264" s="61" t="n"/>
      <c r="N264" s="60" t="n"/>
      <c r="O264" s="60" t="n"/>
      <c r="P264" s="60" t="n"/>
      <c r="Q264" s="60" t="n"/>
      <c r="R264" s="60" t="n"/>
      <c r="S264" s="60" t="n"/>
      <c r="T264" s="60" t="n"/>
      <c r="U264" s="60" t="n"/>
      <c r="V264" s="60" t="n"/>
      <c r="W264" s="60" t="n"/>
      <c r="X264" s="60" t="n"/>
      <c r="Y264" s="63">
        <f>IF($H264="","",TODAY()-$H264)</f>
        <v/>
      </c>
      <c r="Z264" s="63">
        <f>IF($A264="","",IF(AND($F264="Yes",OR($U264="No",$U264="NOT FOUND")),"YES",""))</f>
        <v/>
      </c>
      <c r="AA264" s="66">
        <f>IF($A264="","",TRIM(IF(AND($P264=0,$L264&lt;&gt;"Yes"),"T0-NoSmartcard ","")&amp;IF(AND($J264&lt;&gt;"",$J264&gt;365),"StalePwd ","")&amp;IF($K264="Yes","PwdNeverExpires ","")&amp;IF(AND($S264&lt;&gt;"",$S264&lt;&gt;"None"),"Delegation ","")&amp;IF(AND($Q264=1,$O264="None"),"StaleAdminCount ","")&amp;IF(AND($F264="Yes",$H264=""),"NeverLoggedOn ","")))</f>
        <v/>
      </c>
      <c r="AB264" s="60" t="n"/>
      <c r="AC264" s="61" t="n"/>
      <c r="AD264" s="60" t="n"/>
      <c r="AE264" s="62" t="n"/>
      <c r="AF264" s="62" t="n"/>
      <c r="AG264" s="62" t="n"/>
      <c r="AH264" s="60" t="n"/>
      <c r="AI264" s="61" t="n"/>
      <c r="AJ264" s="63">
        <f>IF($A264="","",IF(AF264="","Not Enrolled",IF(TODAY()&gt;AF264,"Review Overdue",IF(AF264-TODAY()&lt;=30,"Review Due Soon","Active"))))</f>
        <v/>
      </c>
      <c r="AK264" s="63">
        <f>IF($A264="","",IF(AG264="","NOT REVIEWED",IF(TODAY()-AG264&gt;90,"OVERDUE",IF(TODAY()-AG264&gt;76,"Due Soon","Current"))))</f>
        <v/>
      </c>
    </row>
    <row r="265" ht="15" customHeight="1" s="39">
      <c r="A265" s="60" t="n"/>
      <c r="B265" s="60" t="n"/>
      <c r="C265" s="61" t="n"/>
      <c r="D265" s="61" t="n"/>
      <c r="E265" s="60" t="n"/>
      <c r="F265" s="60" t="n"/>
      <c r="G265" s="62" t="n"/>
      <c r="H265" s="62" t="n"/>
      <c r="I265" s="62" t="n"/>
      <c r="J265" s="60" t="n"/>
      <c r="K265" s="60" t="n"/>
      <c r="L265" s="60" t="n"/>
      <c r="M265" s="61" t="n"/>
      <c r="N265" s="60" t="n"/>
      <c r="O265" s="60" t="n"/>
      <c r="P265" s="60" t="n"/>
      <c r="Q265" s="60" t="n"/>
      <c r="R265" s="60" t="n"/>
      <c r="S265" s="60" t="n"/>
      <c r="T265" s="60" t="n"/>
      <c r="U265" s="60" t="n"/>
      <c r="V265" s="60" t="n"/>
      <c r="W265" s="60" t="n"/>
      <c r="X265" s="60" t="n"/>
      <c r="Y265" s="63">
        <f>IF($H265="","",TODAY()-$H265)</f>
        <v/>
      </c>
      <c r="Z265" s="63">
        <f>IF($A265="","",IF(AND($F265="Yes",OR($U265="No",$U265="NOT FOUND")),"YES",""))</f>
        <v/>
      </c>
      <c r="AA265" s="66">
        <f>IF($A265="","",TRIM(IF(AND($P265=0,$L265&lt;&gt;"Yes"),"T0-NoSmartcard ","")&amp;IF(AND($J265&lt;&gt;"",$J265&gt;365),"StalePwd ","")&amp;IF($K265="Yes","PwdNeverExpires ","")&amp;IF(AND($S265&lt;&gt;"",$S265&lt;&gt;"None"),"Delegation ","")&amp;IF(AND($Q265=1,$O265="None"),"StaleAdminCount ","")&amp;IF(AND($F265="Yes",$H265=""),"NeverLoggedOn ","")))</f>
        <v/>
      </c>
      <c r="AB265" s="60" t="n"/>
      <c r="AC265" s="61" t="n"/>
      <c r="AD265" s="60" t="n"/>
      <c r="AE265" s="62" t="n"/>
      <c r="AF265" s="62" t="n"/>
      <c r="AG265" s="62" t="n"/>
      <c r="AH265" s="60" t="n"/>
      <c r="AI265" s="61" t="n"/>
      <c r="AJ265" s="63">
        <f>IF($A265="","",IF(AF265="","Not Enrolled",IF(TODAY()&gt;AF265,"Review Overdue",IF(AF265-TODAY()&lt;=30,"Review Due Soon","Active"))))</f>
        <v/>
      </c>
      <c r="AK265" s="63">
        <f>IF($A265="","",IF(AG265="","NOT REVIEWED",IF(TODAY()-AG265&gt;90,"OVERDUE",IF(TODAY()-AG265&gt;76,"Due Soon","Current"))))</f>
        <v/>
      </c>
    </row>
    <row r="266" ht="15" customHeight="1" s="39">
      <c r="A266" s="60" t="n"/>
      <c r="B266" s="60" t="n"/>
      <c r="C266" s="61" t="n"/>
      <c r="D266" s="61" t="n"/>
      <c r="E266" s="60" t="n"/>
      <c r="F266" s="60" t="n"/>
      <c r="G266" s="62" t="n"/>
      <c r="H266" s="62" t="n"/>
      <c r="I266" s="62" t="n"/>
      <c r="J266" s="60" t="n"/>
      <c r="K266" s="60" t="n"/>
      <c r="L266" s="60" t="n"/>
      <c r="M266" s="61" t="n"/>
      <c r="N266" s="60" t="n"/>
      <c r="O266" s="60" t="n"/>
      <c r="P266" s="60" t="n"/>
      <c r="Q266" s="60" t="n"/>
      <c r="R266" s="60" t="n"/>
      <c r="S266" s="60" t="n"/>
      <c r="T266" s="60" t="n"/>
      <c r="U266" s="60" t="n"/>
      <c r="V266" s="60" t="n"/>
      <c r="W266" s="60" t="n"/>
      <c r="X266" s="60" t="n"/>
      <c r="Y266" s="63">
        <f>IF($H266="","",TODAY()-$H266)</f>
        <v/>
      </c>
      <c r="Z266" s="63">
        <f>IF($A266="","",IF(AND($F266="Yes",OR($U266="No",$U266="NOT FOUND")),"YES",""))</f>
        <v/>
      </c>
      <c r="AA266" s="66">
        <f>IF($A266="","",TRIM(IF(AND($P266=0,$L266&lt;&gt;"Yes"),"T0-NoSmartcard ","")&amp;IF(AND($J266&lt;&gt;"",$J266&gt;365),"StalePwd ","")&amp;IF($K266="Yes","PwdNeverExpires ","")&amp;IF(AND($S266&lt;&gt;"",$S266&lt;&gt;"None"),"Delegation ","")&amp;IF(AND($Q266=1,$O266="None"),"StaleAdminCount ","")&amp;IF(AND($F266="Yes",$H266=""),"NeverLoggedOn ","")))</f>
        <v/>
      </c>
      <c r="AB266" s="60" t="n"/>
      <c r="AC266" s="61" t="n"/>
      <c r="AD266" s="60" t="n"/>
      <c r="AE266" s="62" t="n"/>
      <c r="AF266" s="62" t="n"/>
      <c r="AG266" s="62" t="n"/>
      <c r="AH266" s="60" t="n"/>
      <c r="AI266" s="61" t="n"/>
      <c r="AJ266" s="63">
        <f>IF($A266="","",IF(AF266="","Not Enrolled",IF(TODAY()&gt;AF266,"Review Overdue",IF(AF266-TODAY()&lt;=30,"Review Due Soon","Active"))))</f>
        <v/>
      </c>
      <c r="AK266" s="63">
        <f>IF($A266="","",IF(AG266="","NOT REVIEWED",IF(TODAY()-AG266&gt;90,"OVERDUE",IF(TODAY()-AG266&gt;76,"Due Soon","Current"))))</f>
        <v/>
      </c>
    </row>
    <row r="267" ht="15" customHeight="1" s="39">
      <c r="A267" s="60" t="n"/>
      <c r="B267" s="60" t="n"/>
      <c r="C267" s="61" t="n"/>
      <c r="D267" s="61" t="n"/>
      <c r="E267" s="60" t="n"/>
      <c r="F267" s="60" t="n"/>
      <c r="G267" s="62" t="n"/>
      <c r="H267" s="62" t="n"/>
      <c r="I267" s="62" t="n"/>
      <c r="J267" s="60" t="n"/>
      <c r="K267" s="60" t="n"/>
      <c r="L267" s="60" t="n"/>
      <c r="M267" s="61" t="n"/>
      <c r="N267" s="60" t="n"/>
      <c r="O267" s="60" t="n"/>
      <c r="P267" s="60" t="n"/>
      <c r="Q267" s="60" t="n"/>
      <c r="R267" s="60" t="n"/>
      <c r="S267" s="60" t="n"/>
      <c r="T267" s="60" t="n"/>
      <c r="U267" s="60" t="n"/>
      <c r="V267" s="60" t="n"/>
      <c r="W267" s="60" t="n"/>
      <c r="X267" s="60" t="n"/>
      <c r="Y267" s="63">
        <f>IF($H267="","",TODAY()-$H267)</f>
        <v/>
      </c>
      <c r="Z267" s="63">
        <f>IF($A267="","",IF(AND($F267="Yes",OR($U267="No",$U267="NOT FOUND")),"YES",""))</f>
        <v/>
      </c>
      <c r="AA267" s="66">
        <f>IF($A267="","",TRIM(IF(AND($P267=0,$L267&lt;&gt;"Yes"),"T0-NoSmartcard ","")&amp;IF(AND($J267&lt;&gt;"",$J267&gt;365),"StalePwd ","")&amp;IF($K267="Yes","PwdNeverExpires ","")&amp;IF(AND($S267&lt;&gt;"",$S267&lt;&gt;"None"),"Delegation ","")&amp;IF(AND($Q267=1,$O267="None"),"StaleAdminCount ","")&amp;IF(AND($F267="Yes",$H267=""),"NeverLoggedOn ","")))</f>
        <v/>
      </c>
      <c r="AB267" s="60" t="n"/>
      <c r="AC267" s="61" t="n"/>
      <c r="AD267" s="60" t="n"/>
      <c r="AE267" s="62" t="n"/>
      <c r="AF267" s="62" t="n"/>
      <c r="AG267" s="62" t="n"/>
      <c r="AH267" s="60" t="n"/>
      <c r="AI267" s="61" t="n"/>
      <c r="AJ267" s="63">
        <f>IF($A267="","",IF(AF267="","Not Enrolled",IF(TODAY()&gt;AF267,"Review Overdue",IF(AF267-TODAY()&lt;=30,"Review Due Soon","Active"))))</f>
        <v/>
      </c>
      <c r="AK267" s="63">
        <f>IF($A267="","",IF(AG267="","NOT REVIEWED",IF(TODAY()-AG267&gt;90,"OVERDUE",IF(TODAY()-AG267&gt;76,"Due Soon","Current"))))</f>
        <v/>
      </c>
    </row>
    <row r="268" ht="15" customHeight="1" s="39">
      <c r="A268" s="60" t="n"/>
      <c r="B268" s="60" t="n"/>
      <c r="C268" s="61" t="n"/>
      <c r="D268" s="61" t="n"/>
      <c r="E268" s="60" t="n"/>
      <c r="F268" s="60" t="n"/>
      <c r="G268" s="62" t="n"/>
      <c r="H268" s="62" t="n"/>
      <c r="I268" s="62" t="n"/>
      <c r="J268" s="60" t="n"/>
      <c r="K268" s="60" t="n"/>
      <c r="L268" s="60" t="n"/>
      <c r="M268" s="61" t="n"/>
      <c r="N268" s="60" t="n"/>
      <c r="O268" s="60" t="n"/>
      <c r="P268" s="60" t="n"/>
      <c r="Q268" s="60" t="n"/>
      <c r="R268" s="60" t="n"/>
      <c r="S268" s="60" t="n"/>
      <c r="T268" s="60" t="n"/>
      <c r="U268" s="60" t="n"/>
      <c r="V268" s="60" t="n"/>
      <c r="W268" s="60" t="n"/>
      <c r="X268" s="60" t="n"/>
      <c r="Y268" s="63">
        <f>IF($H268="","",TODAY()-$H268)</f>
        <v/>
      </c>
      <c r="Z268" s="63">
        <f>IF($A268="","",IF(AND($F268="Yes",OR($U268="No",$U268="NOT FOUND")),"YES",""))</f>
        <v/>
      </c>
      <c r="AA268" s="66">
        <f>IF($A268="","",TRIM(IF(AND($P268=0,$L268&lt;&gt;"Yes"),"T0-NoSmartcard ","")&amp;IF(AND($J268&lt;&gt;"",$J268&gt;365),"StalePwd ","")&amp;IF($K268="Yes","PwdNeverExpires ","")&amp;IF(AND($S268&lt;&gt;"",$S268&lt;&gt;"None"),"Delegation ","")&amp;IF(AND($Q268=1,$O268="None"),"StaleAdminCount ","")&amp;IF(AND($F268="Yes",$H268=""),"NeverLoggedOn ","")))</f>
        <v/>
      </c>
      <c r="AB268" s="60" t="n"/>
      <c r="AC268" s="61" t="n"/>
      <c r="AD268" s="60" t="n"/>
      <c r="AE268" s="62" t="n"/>
      <c r="AF268" s="62" t="n"/>
      <c r="AG268" s="62" t="n"/>
      <c r="AH268" s="60" t="n"/>
      <c r="AI268" s="61" t="n"/>
      <c r="AJ268" s="63">
        <f>IF($A268="","",IF(AF268="","Not Enrolled",IF(TODAY()&gt;AF268,"Review Overdue",IF(AF268-TODAY()&lt;=30,"Review Due Soon","Active"))))</f>
        <v/>
      </c>
      <c r="AK268" s="63">
        <f>IF($A268="","",IF(AG268="","NOT REVIEWED",IF(TODAY()-AG268&gt;90,"OVERDUE",IF(TODAY()-AG268&gt;76,"Due Soon","Current"))))</f>
        <v/>
      </c>
    </row>
    <row r="269" ht="15" customHeight="1" s="39">
      <c r="A269" s="60" t="n"/>
      <c r="B269" s="60" t="n"/>
      <c r="C269" s="61" t="n"/>
      <c r="D269" s="61" t="n"/>
      <c r="E269" s="60" t="n"/>
      <c r="F269" s="60" t="n"/>
      <c r="G269" s="62" t="n"/>
      <c r="H269" s="62" t="n"/>
      <c r="I269" s="62" t="n"/>
      <c r="J269" s="60" t="n"/>
      <c r="K269" s="60" t="n"/>
      <c r="L269" s="60" t="n"/>
      <c r="M269" s="61" t="n"/>
      <c r="N269" s="60" t="n"/>
      <c r="O269" s="60" t="n"/>
      <c r="P269" s="60" t="n"/>
      <c r="Q269" s="60" t="n"/>
      <c r="R269" s="60" t="n"/>
      <c r="S269" s="60" t="n"/>
      <c r="T269" s="60" t="n"/>
      <c r="U269" s="60" t="n"/>
      <c r="V269" s="60" t="n"/>
      <c r="W269" s="60" t="n"/>
      <c r="X269" s="60" t="n"/>
      <c r="Y269" s="63">
        <f>IF($H269="","",TODAY()-$H269)</f>
        <v/>
      </c>
      <c r="Z269" s="63">
        <f>IF($A269="","",IF(AND($F269="Yes",OR($U269="No",$U269="NOT FOUND")),"YES",""))</f>
        <v/>
      </c>
      <c r="AA269" s="66">
        <f>IF($A269="","",TRIM(IF(AND($P269=0,$L269&lt;&gt;"Yes"),"T0-NoSmartcard ","")&amp;IF(AND($J269&lt;&gt;"",$J269&gt;365),"StalePwd ","")&amp;IF($K269="Yes","PwdNeverExpires ","")&amp;IF(AND($S269&lt;&gt;"",$S269&lt;&gt;"None"),"Delegation ","")&amp;IF(AND($Q269=1,$O269="None"),"StaleAdminCount ","")&amp;IF(AND($F269="Yes",$H269=""),"NeverLoggedOn ","")))</f>
        <v/>
      </c>
      <c r="AB269" s="60" t="n"/>
      <c r="AC269" s="61" t="n"/>
      <c r="AD269" s="60" t="n"/>
      <c r="AE269" s="62" t="n"/>
      <c r="AF269" s="62" t="n"/>
      <c r="AG269" s="62" t="n"/>
      <c r="AH269" s="60" t="n"/>
      <c r="AI269" s="61" t="n"/>
      <c r="AJ269" s="63">
        <f>IF($A269="","",IF(AF269="","Not Enrolled",IF(TODAY()&gt;AF269,"Review Overdue",IF(AF269-TODAY()&lt;=30,"Review Due Soon","Active"))))</f>
        <v/>
      </c>
      <c r="AK269" s="63">
        <f>IF($A269="","",IF(AG269="","NOT REVIEWED",IF(TODAY()-AG269&gt;90,"OVERDUE",IF(TODAY()-AG269&gt;76,"Due Soon","Current"))))</f>
        <v/>
      </c>
    </row>
    <row r="270" ht="15" customHeight="1" s="39">
      <c r="A270" s="60" t="n"/>
      <c r="B270" s="60" t="n"/>
      <c r="C270" s="61" t="n"/>
      <c r="D270" s="61" t="n"/>
      <c r="E270" s="60" t="n"/>
      <c r="F270" s="60" t="n"/>
      <c r="G270" s="62" t="n"/>
      <c r="H270" s="62" t="n"/>
      <c r="I270" s="62" t="n"/>
      <c r="J270" s="60" t="n"/>
      <c r="K270" s="60" t="n"/>
      <c r="L270" s="60" t="n"/>
      <c r="M270" s="61" t="n"/>
      <c r="N270" s="60" t="n"/>
      <c r="O270" s="60" t="n"/>
      <c r="P270" s="60" t="n"/>
      <c r="Q270" s="60" t="n"/>
      <c r="R270" s="60" t="n"/>
      <c r="S270" s="60" t="n"/>
      <c r="T270" s="60" t="n"/>
      <c r="U270" s="60" t="n"/>
      <c r="V270" s="60" t="n"/>
      <c r="W270" s="60" t="n"/>
      <c r="X270" s="60" t="n"/>
      <c r="Y270" s="63">
        <f>IF($H270="","",TODAY()-$H270)</f>
        <v/>
      </c>
      <c r="Z270" s="63">
        <f>IF($A270="","",IF(AND($F270="Yes",OR($U270="No",$U270="NOT FOUND")),"YES",""))</f>
        <v/>
      </c>
      <c r="AA270" s="66">
        <f>IF($A270="","",TRIM(IF(AND($P270=0,$L270&lt;&gt;"Yes"),"T0-NoSmartcard ","")&amp;IF(AND($J270&lt;&gt;"",$J270&gt;365),"StalePwd ","")&amp;IF($K270="Yes","PwdNeverExpires ","")&amp;IF(AND($S270&lt;&gt;"",$S270&lt;&gt;"None"),"Delegation ","")&amp;IF(AND($Q270=1,$O270="None"),"StaleAdminCount ","")&amp;IF(AND($F270="Yes",$H270=""),"NeverLoggedOn ","")))</f>
        <v/>
      </c>
      <c r="AB270" s="60" t="n"/>
      <c r="AC270" s="61" t="n"/>
      <c r="AD270" s="60" t="n"/>
      <c r="AE270" s="62" t="n"/>
      <c r="AF270" s="62" t="n"/>
      <c r="AG270" s="62" t="n"/>
      <c r="AH270" s="60" t="n"/>
      <c r="AI270" s="61" t="n"/>
      <c r="AJ270" s="63">
        <f>IF($A270="","",IF(AF270="","Not Enrolled",IF(TODAY()&gt;AF270,"Review Overdue",IF(AF270-TODAY()&lt;=30,"Review Due Soon","Active"))))</f>
        <v/>
      </c>
      <c r="AK270" s="63">
        <f>IF($A270="","",IF(AG270="","NOT REVIEWED",IF(TODAY()-AG270&gt;90,"OVERDUE",IF(TODAY()-AG270&gt;76,"Due Soon","Current"))))</f>
        <v/>
      </c>
    </row>
    <row r="271" ht="15" customHeight="1" s="39">
      <c r="A271" s="60" t="n"/>
      <c r="B271" s="60" t="n"/>
      <c r="C271" s="61" t="n"/>
      <c r="D271" s="61" t="n"/>
      <c r="E271" s="60" t="n"/>
      <c r="F271" s="60" t="n"/>
      <c r="G271" s="62" t="n"/>
      <c r="H271" s="62" t="n"/>
      <c r="I271" s="62" t="n"/>
      <c r="J271" s="60" t="n"/>
      <c r="K271" s="60" t="n"/>
      <c r="L271" s="60" t="n"/>
      <c r="M271" s="61" t="n"/>
      <c r="N271" s="60" t="n"/>
      <c r="O271" s="60" t="n"/>
      <c r="P271" s="60" t="n"/>
      <c r="Q271" s="60" t="n"/>
      <c r="R271" s="60" t="n"/>
      <c r="S271" s="60" t="n"/>
      <c r="T271" s="60" t="n"/>
      <c r="U271" s="60" t="n"/>
      <c r="V271" s="60" t="n"/>
      <c r="W271" s="60" t="n"/>
      <c r="X271" s="60" t="n"/>
      <c r="Y271" s="63">
        <f>IF($H271="","",TODAY()-$H271)</f>
        <v/>
      </c>
      <c r="Z271" s="63">
        <f>IF($A271="","",IF(AND($F271="Yes",OR($U271="No",$U271="NOT FOUND")),"YES",""))</f>
        <v/>
      </c>
      <c r="AA271" s="66">
        <f>IF($A271="","",TRIM(IF(AND($P271=0,$L271&lt;&gt;"Yes"),"T0-NoSmartcard ","")&amp;IF(AND($J271&lt;&gt;"",$J271&gt;365),"StalePwd ","")&amp;IF($K271="Yes","PwdNeverExpires ","")&amp;IF(AND($S271&lt;&gt;"",$S271&lt;&gt;"None"),"Delegation ","")&amp;IF(AND($Q271=1,$O271="None"),"StaleAdminCount ","")&amp;IF(AND($F271="Yes",$H271=""),"NeverLoggedOn ","")))</f>
        <v/>
      </c>
      <c r="AB271" s="60" t="n"/>
      <c r="AC271" s="61" t="n"/>
      <c r="AD271" s="60" t="n"/>
      <c r="AE271" s="62" t="n"/>
      <c r="AF271" s="62" t="n"/>
      <c r="AG271" s="62" t="n"/>
      <c r="AH271" s="60" t="n"/>
      <c r="AI271" s="61" t="n"/>
      <c r="AJ271" s="63">
        <f>IF($A271="","",IF(AF271="","Not Enrolled",IF(TODAY()&gt;AF271,"Review Overdue",IF(AF271-TODAY()&lt;=30,"Review Due Soon","Active"))))</f>
        <v/>
      </c>
      <c r="AK271" s="63">
        <f>IF($A271="","",IF(AG271="","NOT REVIEWED",IF(TODAY()-AG271&gt;90,"OVERDUE",IF(TODAY()-AG271&gt;76,"Due Soon","Current"))))</f>
        <v/>
      </c>
    </row>
    <row r="272" ht="15" customHeight="1" s="39">
      <c r="A272" s="60" t="n"/>
      <c r="B272" s="60" t="n"/>
      <c r="C272" s="61" t="n"/>
      <c r="D272" s="61" t="n"/>
      <c r="E272" s="60" t="n"/>
      <c r="F272" s="60" t="n"/>
      <c r="G272" s="62" t="n"/>
      <c r="H272" s="62" t="n"/>
      <c r="I272" s="62" t="n"/>
      <c r="J272" s="60" t="n"/>
      <c r="K272" s="60" t="n"/>
      <c r="L272" s="60" t="n"/>
      <c r="M272" s="61" t="n"/>
      <c r="N272" s="60" t="n"/>
      <c r="O272" s="60" t="n"/>
      <c r="P272" s="60" t="n"/>
      <c r="Q272" s="60" t="n"/>
      <c r="R272" s="60" t="n"/>
      <c r="S272" s="60" t="n"/>
      <c r="T272" s="60" t="n"/>
      <c r="U272" s="60" t="n"/>
      <c r="V272" s="60" t="n"/>
      <c r="W272" s="60" t="n"/>
      <c r="X272" s="60" t="n"/>
      <c r="Y272" s="63">
        <f>IF($H272="","",TODAY()-$H272)</f>
        <v/>
      </c>
      <c r="Z272" s="63">
        <f>IF($A272="","",IF(AND($F272="Yes",OR($U272="No",$U272="NOT FOUND")),"YES",""))</f>
        <v/>
      </c>
      <c r="AA272" s="66">
        <f>IF($A272="","",TRIM(IF(AND($P272=0,$L272&lt;&gt;"Yes"),"T0-NoSmartcard ","")&amp;IF(AND($J272&lt;&gt;"",$J272&gt;365),"StalePwd ","")&amp;IF($K272="Yes","PwdNeverExpires ","")&amp;IF(AND($S272&lt;&gt;"",$S272&lt;&gt;"None"),"Delegation ","")&amp;IF(AND($Q272=1,$O272="None"),"StaleAdminCount ","")&amp;IF(AND($F272="Yes",$H272=""),"NeverLoggedOn ","")))</f>
        <v/>
      </c>
      <c r="AB272" s="60" t="n"/>
      <c r="AC272" s="61" t="n"/>
      <c r="AD272" s="60" t="n"/>
      <c r="AE272" s="62" t="n"/>
      <c r="AF272" s="62" t="n"/>
      <c r="AG272" s="62" t="n"/>
      <c r="AH272" s="60" t="n"/>
      <c r="AI272" s="61" t="n"/>
      <c r="AJ272" s="63">
        <f>IF($A272="","",IF(AF272="","Not Enrolled",IF(TODAY()&gt;AF272,"Review Overdue",IF(AF272-TODAY()&lt;=30,"Review Due Soon","Active"))))</f>
        <v/>
      </c>
      <c r="AK272" s="63">
        <f>IF($A272="","",IF(AG272="","NOT REVIEWED",IF(TODAY()-AG272&gt;90,"OVERDUE",IF(TODAY()-AG272&gt;76,"Due Soon","Current"))))</f>
        <v/>
      </c>
    </row>
    <row r="273" ht="15" customHeight="1" s="39">
      <c r="A273" s="60" t="n"/>
      <c r="B273" s="60" t="n"/>
      <c r="C273" s="61" t="n"/>
      <c r="D273" s="61" t="n"/>
      <c r="E273" s="60" t="n"/>
      <c r="F273" s="60" t="n"/>
      <c r="G273" s="62" t="n"/>
      <c r="H273" s="62" t="n"/>
      <c r="I273" s="62" t="n"/>
      <c r="J273" s="60" t="n"/>
      <c r="K273" s="60" t="n"/>
      <c r="L273" s="60" t="n"/>
      <c r="M273" s="61" t="n"/>
      <c r="N273" s="60" t="n"/>
      <c r="O273" s="60" t="n"/>
      <c r="P273" s="60" t="n"/>
      <c r="Q273" s="60" t="n"/>
      <c r="R273" s="60" t="n"/>
      <c r="S273" s="60" t="n"/>
      <c r="T273" s="60" t="n"/>
      <c r="U273" s="60" t="n"/>
      <c r="V273" s="60" t="n"/>
      <c r="W273" s="60" t="n"/>
      <c r="X273" s="60" t="n"/>
      <c r="Y273" s="63">
        <f>IF($H273="","",TODAY()-$H273)</f>
        <v/>
      </c>
      <c r="Z273" s="63">
        <f>IF($A273="","",IF(AND($F273="Yes",OR($U273="No",$U273="NOT FOUND")),"YES",""))</f>
        <v/>
      </c>
      <c r="AA273" s="66">
        <f>IF($A273="","",TRIM(IF(AND($P273=0,$L273&lt;&gt;"Yes"),"T0-NoSmartcard ","")&amp;IF(AND($J273&lt;&gt;"",$J273&gt;365),"StalePwd ","")&amp;IF($K273="Yes","PwdNeverExpires ","")&amp;IF(AND($S273&lt;&gt;"",$S273&lt;&gt;"None"),"Delegation ","")&amp;IF(AND($Q273=1,$O273="None"),"StaleAdminCount ","")&amp;IF(AND($F273="Yes",$H273=""),"NeverLoggedOn ","")))</f>
        <v/>
      </c>
      <c r="AB273" s="60" t="n"/>
      <c r="AC273" s="61" t="n"/>
      <c r="AD273" s="60" t="n"/>
      <c r="AE273" s="62" t="n"/>
      <c r="AF273" s="62" t="n"/>
      <c r="AG273" s="62" t="n"/>
      <c r="AH273" s="60" t="n"/>
      <c r="AI273" s="61" t="n"/>
      <c r="AJ273" s="63">
        <f>IF($A273="","",IF(AF273="","Not Enrolled",IF(TODAY()&gt;AF273,"Review Overdue",IF(AF273-TODAY()&lt;=30,"Review Due Soon","Active"))))</f>
        <v/>
      </c>
      <c r="AK273" s="63">
        <f>IF($A273="","",IF(AG273="","NOT REVIEWED",IF(TODAY()-AG273&gt;90,"OVERDUE",IF(TODAY()-AG273&gt;76,"Due Soon","Current"))))</f>
        <v/>
      </c>
    </row>
    <row r="274" ht="15" customHeight="1" s="39">
      <c r="A274" s="60" t="n"/>
      <c r="B274" s="60" t="n"/>
      <c r="C274" s="61" t="n"/>
      <c r="D274" s="61" t="n"/>
      <c r="E274" s="60" t="n"/>
      <c r="F274" s="60" t="n"/>
      <c r="G274" s="62" t="n"/>
      <c r="H274" s="62" t="n"/>
      <c r="I274" s="62" t="n"/>
      <c r="J274" s="60" t="n"/>
      <c r="K274" s="60" t="n"/>
      <c r="L274" s="60" t="n"/>
      <c r="M274" s="61" t="n"/>
      <c r="N274" s="60" t="n"/>
      <c r="O274" s="60" t="n"/>
      <c r="P274" s="60" t="n"/>
      <c r="Q274" s="60" t="n"/>
      <c r="R274" s="60" t="n"/>
      <c r="S274" s="60" t="n"/>
      <c r="T274" s="60" t="n"/>
      <c r="U274" s="60" t="n"/>
      <c r="V274" s="60" t="n"/>
      <c r="W274" s="60" t="n"/>
      <c r="X274" s="60" t="n"/>
      <c r="Y274" s="63">
        <f>IF($H274="","",TODAY()-$H274)</f>
        <v/>
      </c>
      <c r="Z274" s="63">
        <f>IF($A274="","",IF(AND($F274="Yes",OR($U274="No",$U274="NOT FOUND")),"YES",""))</f>
        <v/>
      </c>
      <c r="AA274" s="66">
        <f>IF($A274="","",TRIM(IF(AND($P274=0,$L274&lt;&gt;"Yes"),"T0-NoSmartcard ","")&amp;IF(AND($J274&lt;&gt;"",$J274&gt;365),"StalePwd ","")&amp;IF($K274="Yes","PwdNeverExpires ","")&amp;IF(AND($S274&lt;&gt;"",$S274&lt;&gt;"None"),"Delegation ","")&amp;IF(AND($Q274=1,$O274="None"),"StaleAdminCount ","")&amp;IF(AND($F274="Yes",$H274=""),"NeverLoggedOn ","")))</f>
        <v/>
      </c>
      <c r="AB274" s="60" t="n"/>
      <c r="AC274" s="61" t="n"/>
      <c r="AD274" s="60" t="n"/>
      <c r="AE274" s="62" t="n"/>
      <c r="AF274" s="62" t="n"/>
      <c r="AG274" s="62" t="n"/>
      <c r="AH274" s="60" t="n"/>
      <c r="AI274" s="61" t="n"/>
      <c r="AJ274" s="63">
        <f>IF($A274="","",IF(AF274="","Not Enrolled",IF(TODAY()&gt;AF274,"Review Overdue",IF(AF274-TODAY()&lt;=30,"Review Due Soon","Active"))))</f>
        <v/>
      </c>
      <c r="AK274" s="63">
        <f>IF($A274="","",IF(AG274="","NOT REVIEWED",IF(TODAY()-AG274&gt;90,"OVERDUE",IF(TODAY()-AG274&gt;76,"Due Soon","Current"))))</f>
        <v/>
      </c>
    </row>
    <row r="275" ht="15" customHeight="1" s="39">
      <c r="A275" s="60" t="n"/>
      <c r="B275" s="60" t="n"/>
      <c r="C275" s="61" t="n"/>
      <c r="D275" s="61" t="n"/>
      <c r="E275" s="60" t="n"/>
      <c r="F275" s="60" t="n"/>
      <c r="G275" s="62" t="n"/>
      <c r="H275" s="62" t="n"/>
      <c r="I275" s="62" t="n"/>
      <c r="J275" s="60" t="n"/>
      <c r="K275" s="60" t="n"/>
      <c r="L275" s="60" t="n"/>
      <c r="M275" s="61" t="n"/>
      <c r="N275" s="60" t="n"/>
      <c r="O275" s="60" t="n"/>
      <c r="P275" s="60" t="n"/>
      <c r="Q275" s="60" t="n"/>
      <c r="R275" s="60" t="n"/>
      <c r="S275" s="60" t="n"/>
      <c r="T275" s="60" t="n"/>
      <c r="U275" s="60" t="n"/>
      <c r="V275" s="60" t="n"/>
      <c r="W275" s="60" t="n"/>
      <c r="X275" s="60" t="n"/>
      <c r="Y275" s="63">
        <f>IF($H275="","",TODAY()-$H275)</f>
        <v/>
      </c>
      <c r="Z275" s="63">
        <f>IF($A275="","",IF(AND($F275="Yes",OR($U275="No",$U275="NOT FOUND")),"YES",""))</f>
        <v/>
      </c>
      <c r="AA275" s="66">
        <f>IF($A275="","",TRIM(IF(AND($P275=0,$L275&lt;&gt;"Yes"),"T0-NoSmartcard ","")&amp;IF(AND($J275&lt;&gt;"",$J275&gt;365),"StalePwd ","")&amp;IF($K275="Yes","PwdNeverExpires ","")&amp;IF(AND($S275&lt;&gt;"",$S275&lt;&gt;"None"),"Delegation ","")&amp;IF(AND($Q275=1,$O275="None"),"StaleAdminCount ","")&amp;IF(AND($F275="Yes",$H275=""),"NeverLoggedOn ","")))</f>
        <v/>
      </c>
      <c r="AB275" s="60" t="n"/>
      <c r="AC275" s="61" t="n"/>
      <c r="AD275" s="60" t="n"/>
      <c r="AE275" s="62" t="n"/>
      <c r="AF275" s="62" t="n"/>
      <c r="AG275" s="62" t="n"/>
      <c r="AH275" s="60" t="n"/>
      <c r="AI275" s="61" t="n"/>
      <c r="AJ275" s="63">
        <f>IF($A275="","",IF(AF275="","Not Enrolled",IF(TODAY()&gt;AF275,"Review Overdue",IF(AF275-TODAY()&lt;=30,"Review Due Soon","Active"))))</f>
        <v/>
      </c>
      <c r="AK275" s="63">
        <f>IF($A275="","",IF(AG275="","NOT REVIEWED",IF(TODAY()-AG275&gt;90,"OVERDUE",IF(TODAY()-AG275&gt;76,"Due Soon","Current"))))</f>
        <v/>
      </c>
    </row>
    <row r="276" ht="15" customHeight="1" s="39">
      <c r="A276" s="60" t="n"/>
      <c r="B276" s="60" t="n"/>
      <c r="C276" s="61" t="n"/>
      <c r="D276" s="61" t="n"/>
      <c r="E276" s="60" t="n"/>
      <c r="F276" s="60" t="n"/>
      <c r="G276" s="62" t="n"/>
      <c r="H276" s="62" t="n"/>
      <c r="I276" s="62" t="n"/>
      <c r="J276" s="60" t="n"/>
      <c r="K276" s="60" t="n"/>
      <c r="L276" s="60" t="n"/>
      <c r="M276" s="61" t="n"/>
      <c r="N276" s="60" t="n"/>
      <c r="O276" s="60" t="n"/>
      <c r="P276" s="60" t="n"/>
      <c r="Q276" s="60" t="n"/>
      <c r="R276" s="60" t="n"/>
      <c r="S276" s="60" t="n"/>
      <c r="T276" s="60" t="n"/>
      <c r="U276" s="60" t="n"/>
      <c r="V276" s="60" t="n"/>
      <c r="W276" s="60" t="n"/>
      <c r="X276" s="60" t="n"/>
      <c r="Y276" s="63">
        <f>IF($H276="","",TODAY()-$H276)</f>
        <v/>
      </c>
      <c r="Z276" s="63">
        <f>IF($A276="","",IF(AND($F276="Yes",OR($U276="No",$U276="NOT FOUND")),"YES",""))</f>
        <v/>
      </c>
      <c r="AA276" s="66">
        <f>IF($A276="","",TRIM(IF(AND($P276=0,$L276&lt;&gt;"Yes"),"T0-NoSmartcard ","")&amp;IF(AND($J276&lt;&gt;"",$J276&gt;365),"StalePwd ","")&amp;IF($K276="Yes","PwdNeverExpires ","")&amp;IF(AND($S276&lt;&gt;"",$S276&lt;&gt;"None"),"Delegation ","")&amp;IF(AND($Q276=1,$O276="None"),"StaleAdminCount ","")&amp;IF(AND($F276="Yes",$H276=""),"NeverLoggedOn ","")))</f>
        <v/>
      </c>
      <c r="AB276" s="60" t="n"/>
      <c r="AC276" s="61" t="n"/>
      <c r="AD276" s="60" t="n"/>
      <c r="AE276" s="62" t="n"/>
      <c r="AF276" s="62" t="n"/>
      <c r="AG276" s="62" t="n"/>
      <c r="AH276" s="60" t="n"/>
      <c r="AI276" s="61" t="n"/>
      <c r="AJ276" s="63">
        <f>IF($A276="","",IF(AF276="","Not Enrolled",IF(TODAY()&gt;AF276,"Review Overdue",IF(AF276-TODAY()&lt;=30,"Review Due Soon","Active"))))</f>
        <v/>
      </c>
      <c r="AK276" s="63">
        <f>IF($A276="","",IF(AG276="","NOT REVIEWED",IF(TODAY()-AG276&gt;90,"OVERDUE",IF(TODAY()-AG276&gt;76,"Due Soon","Current"))))</f>
        <v/>
      </c>
    </row>
    <row r="277" ht="15" customHeight="1" s="39">
      <c r="A277" s="60" t="n"/>
      <c r="B277" s="60" t="n"/>
      <c r="C277" s="61" t="n"/>
      <c r="D277" s="61" t="n"/>
      <c r="E277" s="60" t="n"/>
      <c r="F277" s="60" t="n"/>
      <c r="G277" s="62" t="n"/>
      <c r="H277" s="62" t="n"/>
      <c r="I277" s="62" t="n"/>
      <c r="J277" s="60" t="n"/>
      <c r="K277" s="60" t="n"/>
      <c r="L277" s="60" t="n"/>
      <c r="M277" s="61" t="n"/>
      <c r="N277" s="60" t="n"/>
      <c r="O277" s="60" t="n"/>
      <c r="P277" s="60" t="n"/>
      <c r="Q277" s="60" t="n"/>
      <c r="R277" s="60" t="n"/>
      <c r="S277" s="60" t="n"/>
      <c r="T277" s="60" t="n"/>
      <c r="U277" s="60" t="n"/>
      <c r="V277" s="60" t="n"/>
      <c r="W277" s="60" t="n"/>
      <c r="X277" s="60" t="n"/>
      <c r="Y277" s="63">
        <f>IF($H277="","",TODAY()-$H277)</f>
        <v/>
      </c>
      <c r="Z277" s="63">
        <f>IF($A277="","",IF(AND($F277="Yes",OR($U277="No",$U277="NOT FOUND")),"YES",""))</f>
        <v/>
      </c>
      <c r="AA277" s="66">
        <f>IF($A277="","",TRIM(IF(AND($P277=0,$L277&lt;&gt;"Yes"),"T0-NoSmartcard ","")&amp;IF(AND($J277&lt;&gt;"",$J277&gt;365),"StalePwd ","")&amp;IF($K277="Yes","PwdNeverExpires ","")&amp;IF(AND($S277&lt;&gt;"",$S277&lt;&gt;"None"),"Delegation ","")&amp;IF(AND($Q277=1,$O277="None"),"StaleAdminCount ","")&amp;IF(AND($F277="Yes",$H277=""),"NeverLoggedOn ","")))</f>
        <v/>
      </c>
      <c r="AB277" s="60" t="n"/>
      <c r="AC277" s="61" t="n"/>
      <c r="AD277" s="60" t="n"/>
      <c r="AE277" s="62" t="n"/>
      <c r="AF277" s="62" t="n"/>
      <c r="AG277" s="62" t="n"/>
      <c r="AH277" s="60" t="n"/>
      <c r="AI277" s="61" t="n"/>
      <c r="AJ277" s="63">
        <f>IF($A277="","",IF(AF277="","Not Enrolled",IF(TODAY()&gt;AF277,"Review Overdue",IF(AF277-TODAY()&lt;=30,"Review Due Soon","Active"))))</f>
        <v/>
      </c>
      <c r="AK277" s="63">
        <f>IF($A277="","",IF(AG277="","NOT REVIEWED",IF(TODAY()-AG277&gt;90,"OVERDUE",IF(TODAY()-AG277&gt;76,"Due Soon","Current"))))</f>
        <v/>
      </c>
    </row>
    <row r="278" ht="15" customHeight="1" s="39">
      <c r="A278" s="60" t="n"/>
      <c r="B278" s="60" t="n"/>
      <c r="C278" s="61" t="n"/>
      <c r="D278" s="61" t="n"/>
      <c r="E278" s="60" t="n"/>
      <c r="F278" s="60" t="n"/>
      <c r="G278" s="62" t="n"/>
      <c r="H278" s="62" t="n"/>
      <c r="I278" s="62" t="n"/>
      <c r="J278" s="60" t="n"/>
      <c r="K278" s="60" t="n"/>
      <c r="L278" s="60" t="n"/>
      <c r="M278" s="61" t="n"/>
      <c r="N278" s="60" t="n"/>
      <c r="O278" s="60" t="n"/>
      <c r="P278" s="60" t="n"/>
      <c r="Q278" s="60" t="n"/>
      <c r="R278" s="60" t="n"/>
      <c r="S278" s="60" t="n"/>
      <c r="T278" s="60" t="n"/>
      <c r="U278" s="60" t="n"/>
      <c r="V278" s="60" t="n"/>
      <c r="W278" s="60" t="n"/>
      <c r="X278" s="60" t="n"/>
      <c r="Y278" s="63">
        <f>IF($H278="","",TODAY()-$H278)</f>
        <v/>
      </c>
      <c r="Z278" s="63">
        <f>IF($A278="","",IF(AND($F278="Yes",OR($U278="No",$U278="NOT FOUND")),"YES",""))</f>
        <v/>
      </c>
      <c r="AA278" s="66">
        <f>IF($A278="","",TRIM(IF(AND($P278=0,$L278&lt;&gt;"Yes"),"T0-NoSmartcard ","")&amp;IF(AND($J278&lt;&gt;"",$J278&gt;365),"StalePwd ","")&amp;IF($K278="Yes","PwdNeverExpires ","")&amp;IF(AND($S278&lt;&gt;"",$S278&lt;&gt;"None"),"Delegation ","")&amp;IF(AND($Q278=1,$O278="None"),"StaleAdminCount ","")&amp;IF(AND($F278="Yes",$H278=""),"NeverLoggedOn ","")))</f>
        <v/>
      </c>
      <c r="AB278" s="60" t="n"/>
      <c r="AC278" s="61" t="n"/>
      <c r="AD278" s="60" t="n"/>
      <c r="AE278" s="62" t="n"/>
      <c r="AF278" s="62" t="n"/>
      <c r="AG278" s="62" t="n"/>
      <c r="AH278" s="60" t="n"/>
      <c r="AI278" s="61" t="n"/>
      <c r="AJ278" s="63">
        <f>IF($A278="","",IF(AF278="","Not Enrolled",IF(TODAY()&gt;AF278,"Review Overdue",IF(AF278-TODAY()&lt;=30,"Review Due Soon","Active"))))</f>
        <v/>
      </c>
      <c r="AK278" s="63">
        <f>IF($A278="","",IF(AG278="","NOT REVIEWED",IF(TODAY()-AG278&gt;90,"OVERDUE",IF(TODAY()-AG278&gt;76,"Due Soon","Current"))))</f>
        <v/>
      </c>
    </row>
    <row r="279" ht="15" customHeight="1" s="39">
      <c r="A279" s="60" t="n"/>
      <c r="B279" s="60" t="n"/>
      <c r="C279" s="61" t="n"/>
      <c r="D279" s="61" t="n"/>
      <c r="E279" s="60" t="n"/>
      <c r="F279" s="60" t="n"/>
      <c r="G279" s="62" t="n"/>
      <c r="H279" s="62" t="n"/>
      <c r="I279" s="62" t="n"/>
      <c r="J279" s="60" t="n"/>
      <c r="K279" s="60" t="n"/>
      <c r="L279" s="60" t="n"/>
      <c r="M279" s="61" t="n"/>
      <c r="N279" s="60" t="n"/>
      <c r="O279" s="60" t="n"/>
      <c r="P279" s="60" t="n"/>
      <c r="Q279" s="60" t="n"/>
      <c r="R279" s="60" t="n"/>
      <c r="S279" s="60" t="n"/>
      <c r="T279" s="60" t="n"/>
      <c r="U279" s="60" t="n"/>
      <c r="V279" s="60" t="n"/>
      <c r="W279" s="60" t="n"/>
      <c r="X279" s="60" t="n"/>
      <c r="Y279" s="63">
        <f>IF($H279="","",TODAY()-$H279)</f>
        <v/>
      </c>
      <c r="Z279" s="63">
        <f>IF($A279="","",IF(AND($F279="Yes",OR($U279="No",$U279="NOT FOUND")),"YES",""))</f>
        <v/>
      </c>
      <c r="AA279" s="66">
        <f>IF($A279="","",TRIM(IF(AND($P279=0,$L279&lt;&gt;"Yes"),"T0-NoSmartcard ","")&amp;IF(AND($J279&lt;&gt;"",$J279&gt;365),"StalePwd ","")&amp;IF($K279="Yes","PwdNeverExpires ","")&amp;IF(AND($S279&lt;&gt;"",$S279&lt;&gt;"None"),"Delegation ","")&amp;IF(AND($Q279=1,$O279="None"),"StaleAdminCount ","")&amp;IF(AND($F279="Yes",$H279=""),"NeverLoggedOn ","")))</f>
        <v/>
      </c>
      <c r="AB279" s="60" t="n"/>
      <c r="AC279" s="61" t="n"/>
      <c r="AD279" s="60" t="n"/>
      <c r="AE279" s="62" t="n"/>
      <c r="AF279" s="62" t="n"/>
      <c r="AG279" s="62" t="n"/>
      <c r="AH279" s="60" t="n"/>
      <c r="AI279" s="61" t="n"/>
      <c r="AJ279" s="63">
        <f>IF($A279="","",IF(AF279="","Not Enrolled",IF(TODAY()&gt;AF279,"Review Overdue",IF(AF279-TODAY()&lt;=30,"Review Due Soon","Active"))))</f>
        <v/>
      </c>
      <c r="AK279" s="63">
        <f>IF($A279="","",IF(AG279="","NOT REVIEWED",IF(TODAY()-AG279&gt;90,"OVERDUE",IF(TODAY()-AG279&gt;76,"Due Soon","Current"))))</f>
        <v/>
      </c>
    </row>
    <row r="280" ht="15" customHeight="1" s="39">
      <c r="A280" s="60" t="n"/>
      <c r="B280" s="60" t="n"/>
      <c r="C280" s="61" t="n"/>
      <c r="D280" s="61" t="n"/>
      <c r="E280" s="60" t="n"/>
      <c r="F280" s="60" t="n"/>
      <c r="G280" s="62" t="n"/>
      <c r="H280" s="62" t="n"/>
      <c r="I280" s="62" t="n"/>
      <c r="J280" s="60" t="n"/>
      <c r="K280" s="60" t="n"/>
      <c r="L280" s="60" t="n"/>
      <c r="M280" s="61" t="n"/>
      <c r="N280" s="60" t="n"/>
      <c r="O280" s="60" t="n"/>
      <c r="P280" s="60" t="n"/>
      <c r="Q280" s="60" t="n"/>
      <c r="R280" s="60" t="n"/>
      <c r="S280" s="60" t="n"/>
      <c r="T280" s="60" t="n"/>
      <c r="U280" s="60" t="n"/>
      <c r="V280" s="60" t="n"/>
      <c r="W280" s="60" t="n"/>
      <c r="X280" s="60" t="n"/>
      <c r="Y280" s="63">
        <f>IF($H280="","",TODAY()-$H280)</f>
        <v/>
      </c>
      <c r="Z280" s="63">
        <f>IF($A280="","",IF(AND($F280="Yes",OR($U280="No",$U280="NOT FOUND")),"YES",""))</f>
        <v/>
      </c>
      <c r="AA280" s="66">
        <f>IF($A280="","",TRIM(IF(AND($P280=0,$L280&lt;&gt;"Yes"),"T0-NoSmartcard ","")&amp;IF(AND($J280&lt;&gt;"",$J280&gt;365),"StalePwd ","")&amp;IF($K280="Yes","PwdNeverExpires ","")&amp;IF(AND($S280&lt;&gt;"",$S280&lt;&gt;"None"),"Delegation ","")&amp;IF(AND($Q280=1,$O280="None"),"StaleAdminCount ","")&amp;IF(AND($F280="Yes",$H280=""),"NeverLoggedOn ","")))</f>
        <v/>
      </c>
      <c r="AB280" s="60" t="n"/>
      <c r="AC280" s="61" t="n"/>
      <c r="AD280" s="60" t="n"/>
      <c r="AE280" s="62" t="n"/>
      <c r="AF280" s="62" t="n"/>
      <c r="AG280" s="62" t="n"/>
      <c r="AH280" s="60" t="n"/>
      <c r="AI280" s="61" t="n"/>
      <c r="AJ280" s="63">
        <f>IF($A280="","",IF(AF280="","Not Enrolled",IF(TODAY()&gt;AF280,"Review Overdue",IF(AF280-TODAY()&lt;=30,"Review Due Soon","Active"))))</f>
        <v/>
      </c>
      <c r="AK280" s="63">
        <f>IF($A280="","",IF(AG280="","NOT REVIEWED",IF(TODAY()-AG280&gt;90,"OVERDUE",IF(TODAY()-AG280&gt;76,"Due Soon","Current"))))</f>
        <v/>
      </c>
    </row>
    <row r="281" ht="15" customHeight="1" s="39">
      <c r="A281" s="60" t="n"/>
      <c r="B281" s="60" t="n"/>
      <c r="C281" s="61" t="n"/>
      <c r="D281" s="61" t="n"/>
      <c r="E281" s="60" t="n"/>
      <c r="F281" s="60" t="n"/>
      <c r="G281" s="62" t="n"/>
      <c r="H281" s="62" t="n"/>
      <c r="I281" s="62" t="n"/>
      <c r="J281" s="60" t="n"/>
      <c r="K281" s="60" t="n"/>
      <c r="L281" s="60" t="n"/>
      <c r="M281" s="61" t="n"/>
      <c r="N281" s="60" t="n"/>
      <c r="O281" s="60" t="n"/>
      <c r="P281" s="60" t="n"/>
      <c r="Q281" s="60" t="n"/>
      <c r="R281" s="60" t="n"/>
      <c r="S281" s="60" t="n"/>
      <c r="T281" s="60" t="n"/>
      <c r="U281" s="60" t="n"/>
      <c r="V281" s="60" t="n"/>
      <c r="W281" s="60" t="n"/>
      <c r="X281" s="60" t="n"/>
      <c r="Y281" s="63">
        <f>IF($H281="","",TODAY()-$H281)</f>
        <v/>
      </c>
      <c r="Z281" s="63">
        <f>IF($A281="","",IF(AND($F281="Yes",OR($U281="No",$U281="NOT FOUND")),"YES",""))</f>
        <v/>
      </c>
      <c r="AA281" s="66">
        <f>IF($A281="","",TRIM(IF(AND($P281=0,$L281&lt;&gt;"Yes"),"T0-NoSmartcard ","")&amp;IF(AND($J281&lt;&gt;"",$J281&gt;365),"StalePwd ","")&amp;IF($K281="Yes","PwdNeverExpires ","")&amp;IF(AND($S281&lt;&gt;"",$S281&lt;&gt;"None"),"Delegation ","")&amp;IF(AND($Q281=1,$O281="None"),"StaleAdminCount ","")&amp;IF(AND($F281="Yes",$H281=""),"NeverLoggedOn ","")))</f>
        <v/>
      </c>
      <c r="AB281" s="60" t="n"/>
      <c r="AC281" s="61" t="n"/>
      <c r="AD281" s="60" t="n"/>
      <c r="AE281" s="62" t="n"/>
      <c r="AF281" s="62" t="n"/>
      <c r="AG281" s="62" t="n"/>
      <c r="AH281" s="60" t="n"/>
      <c r="AI281" s="61" t="n"/>
      <c r="AJ281" s="63">
        <f>IF($A281="","",IF(AF281="","Not Enrolled",IF(TODAY()&gt;AF281,"Review Overdue",IF(AF281-TODAY()&lt;=30,"Review Due Soon","Active"))))</f>
        <v/>
      </c>
      <c r="AK281" s="63">
        <f>IF($A281="","",IF(AG281="","NOT REVIEWED",IF(TODAY()-AG281&gt;90,"OVERDUE",IF(TODAY()-AG281&gt;76,"Due Soon","Current"))))</f>
        <v/>
      </c>
    </row>
    <row r="282" ht="15" customHeight="1" s="39">
      <c r="A282" s="60" t="n"/>
      <c r="B282" s="60" t="n"/>
      <c r="C282" s="61" t="n"/>
      <c r="D282" s="61" t="n"/>
      <c r="E282" s="60" t="n"/>
      <c r="F282" s="60" t="n"/>
      <c r="G282" s="62" t="n"/>
      <c r="H282" s="62" t="n"/>
      <c r="I282" s="62" t="n"/>
      <c r="J282" s="60" t="n"/>
      <c r="K282" s="60" t="n"/>
      <c r="L282" s="60" t="n"/>
      <c r="M282" s="61" t="n"/>
      <c r="N282" s="60" t="n"/>
      <c r="O282" s="60" t="n"/>
      <c r="P282" s="60" t="n"/>
      <c r="Q282" s="60" t="n"/>
      <c r="R282" s="60" t="n"/>
      <c r="S282" s="60" t="n"/>
      <c r="T282" s="60" t="n"/>
      <c r="U282" s="60" t="n"/>
      <c r="V282" s="60" t="n"/>
      <c r="W282" s="60" t="n"/>
      <c r="X282" s="60" t="n"/>
      <c r="Y282" s="63">
        <f>IF($H282="","",TODAY()-$H282)</f>
        <v/>
      </c>
      <c r="Z282" s="63">
        <f>IF($A282="","",IF(AND($F282="Yes",OR($U282="No",$U282="NOT FOUND")),"YES",""))</f>
        <v/>
      </c>
      <c r="AA282" s="66">
        <f>IF($A282="","",TRIM(IF(AND($P282=0,$L282&lt;&gt;"Yes"),"T0-NoSmartcard ","")&amp;IF(AND($J282&lt;&gt;"",$J282&gt;365),"StalePwd ","")&amp;IF($K282="Yes","PwdNeverExpires ","")&amp;IF(AND($S282&lt;&gt;"",$S282&lt;&gt;"None"),"Delegation ","")&amp;IF(AND($Q282=1,$O282="None"),"StaleAdminCount ","")&amp;IF(AND($F282="Yes",$H282=""),"NeverLoggedOn ","")))</f>
        <v/>
      </c>
      <c r="AB282" s="60" t="n"/>
      <c r="AC282" s="61" t="n"/>
      <c r="AD282" s="60" t="n"/>
      <c r="AE282" s="62" t="n"/>
      <c r="AF282" s="62" t="n"/>
      <c r="AG282" s="62" t="n"/>
      <c r="AH282" s="60" t="n"/>
      <c r="AI282" s="61" t="n"/>
      <c r="AJ282" s="63">
        <f>IF($A282="","",IF(AF282="","Not Enrolled",IF(TODAY()&gt;AF282,"Review Overdue",IF(AF282-TODAY()&lt;=30,"Review Due Soon","Active"))))</f>
        <v/>
      </c>
      <c r="AK282" s="63">
        <f>IF($A282="","",IF(AG282="","NOT REVIEWED",IF(TODAY()-AG282&gt;90,"OVERDUE",IF(TODAY()-AG282&gt;76,"Due Soon","Current"))))</f>
        <v/>
      </c>
    </row>
    <row r="283" ht="15" customHeight="1" s="39">
      <c r="A283" s="60" t="n"/>
      <c r="B283" s="60" t="n"/>
      <c r="C283" s="61" t="n"/>
      <c r="D283" s="61" t="n"/>
      <c r="E283" s="60" t="n"/>
      <c r="F283" s="60" t="n"/>
      <c r="G283" s="62" t="n"/>
      <c r="H283" s="62" t="n"/>
      <c r="I283" s="62" t="n"/>
      <c r="J283" s="60" t="n"/>
      <c r="K283" s="60" t="n"/>
      <c r="L283" s="60" t="n"/>
      <c r="M283" s="61" t="n"/>
      <c r="N283" s="60" t="n"/>
      <c r="O283" s="60" t="n"/>
      <c r="P283" s="60" t="n"/>
      <c r="Q283" s="60" t="n"/>
      <c r="R283" s="60" t="n"/>
      <c r="S283" s="60" t="n"/>
      <c r="T283" s="60" t="n"/>
      <c r="U283" s="60" t="n"/>
      <c r="V283" s="60" t="n"/>
      <c r="W283" s="60" t="n"/>
      <c r="X283" s="60" t="n"/>
      <c r="Y283" s="63">
        <f>IF($H283="","",TODAY()-$H283)</f>
        <v/>
      </c>
      <c r="Z283" s="63">
        <f>IF($A283="","",IF(AND($F283="Yes",OR($U283="No",$U283="NOT FOUND")),"YES",""))</f>
        <v/>
      </c>
      <c r="AA283" s="66">
        <f>IF($A283="","",TRIM(IF(AND($P283=0,$L283&lt;&gt;"Yes"),"T0-NoSmartcard ","")&amp;IF(AND($J283&lt;&gt;"",$J283&gt;365),"StalePwd ","")&amp;IF($K283="Yes","PwdNeverExpires ","")&amp;IF(AND($S283&lt;&gt;"",$S283&lt;&gt;"None"),"Delegation ","")&amp;IF(AND($Q283=1,$O283="None"),"StaleAdminCount ","")&amp;IF(AND($F283="Yes",$H283=""),"NeverLoggedOn ","")))</f>
        <v/>
      </c>
      <c r="AB283" s="60" t="n"/>
      <c r="AC283" s="61" t="n"/>
      <c r="AD283" s="60" t="n"/>
      <c r="AE283" s="62" t="n"/>
      <c r="AF283" s="62" t="n"/>
      <c r="AG283" s="62" t="n"/>
      <c r="AH283" s="60" t="n"/>
      <c r="AI283" s="61" t="n"/>
      <c r="AJ283" s="63">
        <f>IF($A283="","",IF(AF283="","Not Enrolled",IF(TODAY()&gt;AF283,"Review Overdue",IF(AF283-TODAY()&lt;=30,"Review Due Soon","Active"))))</f>
        <v/>
      </c>
      <c r="AK283" s="63">
        <f>IF($A283="","",IF(AG283="","NOT REVIEWED",IF(TODAY()-AG283&gt;90,"OVERDUE",IF(TODAY()-AG283&gt;76,"Due Soon","Current"))))</f>
        <v/>
      </c>
    </row>
    <row r="284" ht="15" customHeight="1" s="39">
      <c r="A284" s="60" t="n"/>
      <c r="B284" s="60" t="n"/>
      <c r="C284" s="61" t="n"/>
      <c r="D284" s="61" t="n"/>
      <c r="E284" s="60" t="n"/>
      <c r="F284" s="60" t="n"/>
      <c r="G284" s="62" t="n"/>
      <c r="H284" s="62" t="n"/>
      <c r="I284" s="62" t="n"/>
      <c r="J284" s="60" t="n"/>
      <c r="K284" s="60" t="n"/>
      <c r="L284" s="60" t="n"/>
      <c r="M284" s="61" t="n"/>
      <c r="N284" s="60" t="n"/>
      <c r="O284" s="60" t="n"/>
      <c r="P284" s="60" t="n"/>
      <c r="Q284" s="60" t="n"/>
      <c r="R284" s="60" t="n"/>
      <c r="S284" s="60" t="n"/>
      <c r="T284" s="60" t="n"/>
      <c r="U284" s="60" t="n"/>
      <c r="V284" s="60" t="n"/>
      <c r="W284" s="60" t="n"/>
      <c r="X284" s="60" t="n"/>
      <c r="Y284" s="63">
        <f>IF($H284="","",TODAY()-$H284)</f>
        <v/>
      </c>
      <c r="Z284" s="63">
        <f>IF($A284="","",IF(AND($F284="Yes",OR($U284="No",$U284="NOT FOUND")),"YES",""))</f>
        <v/>
      </c>
      <c r="AA284" s="66">
        <f>IF($A284="","",TRIM(IF(AND($P284=0,$L284&lt;&gt;"Yes"),"T0-NoSmartcard ","")&amp;IF(AND($J284&lt;&gt;"",$J284&gt;365),"StalePwd ","")&amp;IF($K284="Yes","PwdNeverExpires ","")&amp;IF(AND($S284&lt;&gt;"",$S284&lt;&gt;"None"),"Delegation ","")&amp;IF(AND($Q284=1,$O284="None"),"StaleAdminCount ","")&amp;IF(AND($F284="Yes",$H284=""),"NeverLoggedOn ","")))</f>
        <v/>
      </c>
      <c r="AB284" s="60" t="n"/>
      <c r="AC284" s="61" t="n"/>
      <c r="AD284" s="60" t="n"/>
      <c r="AE284" s="62" t="n"/>
      <c r="AF284" s="62" t="n"/>
      <c r="AG284" s="62" t="n"/>
      <c r="AH284" s="60" t="n"/>
      <c r="AI284" s="61" t="n"/>
      <c r="AJ284" s="63">
        <f>IF($A284="","",IF(AF284="","Not Enrolled",IF(TODAY()&gt;AF284,"Review Overdue",IF(AF284-TODAY()&lt;=30,"Review Due Soon","Active"))))</f>
        <v/>
      </c>
      <c r="AK284" s="63">
        <f>IF($A284="","",IF(AG284="","NOT REVIEWED",IF(TODAY()-AG284&gt;90,"OVERDUE",IF(TODAY()-AG284&gt;76,"Due Soon","Current"))))</f>
        <v/>
      </c>
    </row>
    <row r="285" ht="15" customHeight="1" s="39">
      <c r="A285" s="60" t="n"/>
      <c r="B285" s="60" t="n"/>
      <c r="C285" s="61" t="n"/>
      <c r="D285" s="61" t="n"/>
      <c r="E285" s="60" t="n"/>
      <c r="F285" s="60" t="n"/>
      <c r="G285" s="62" t="n"/>
      <c r="H285" s="62" t="n"/>
      <c r="I285" s="62" t="n"/>
      <c r="J285" s="60" t="n"/>
      <c r="K285" s="60" t="n"/>
      <c r="L285" s="60" t="n"/>
      <c r="M285" s="61" t="n"/>
      <c r="N285" s="60" t="n"/>
      <c r="O285" s="60" t="n"/>
      <c r="P285" s="60" t="n"/>
      <c r="Q285" s="60" t="n"/>
      <c r="R285" s="60" t="n"/>
      <c r="S285" s="60" t="n"/>
      <c r="T285" s="60" t="n"/>
      <c r="U285" s="60" t="n"/>
      <c r="V285" s="60" t="n"/>
      <c r="W285" s="60" t="n"/>
      <c r="X285" s="60" t="n"/>
      <c r="Y285" s="63">
        <f>IF($H285="","",TODAY()-$H285)</f>
        <v/>
      </c>
      <c r="Z285" s="63">
        <f>IF($A285="","",IF(AND($F285="Yes",OR($U285="No",$U285="NOT FOUND")),"YES",""))</f>
        <v/>
      </c>
      <c r="AA285" s="66">
        <f>IF($A285="","",TRIM(IF(AND($P285=0,$L285&lt;&gt;"Yes"),"T0-NoSmartcard ","")&amp;IF(AND($J285&lt;&gt;"",$J285&gt;365),"StalePwd ","")&amp;IF($K285="Yes","PwdNeverExpires ","")&amp;IF(AND($S285&lt;&gt;"",$S285&lt;&gt;"None"),"Delegation ","")&amp;IF(AND($Q285=1,$O285="None"),"StaleAdminCount ","")&amp;IF(AND($F285="Yes",$H285=""),"NeverLoggedOn ","")))</f>
        <v/>
      </c>
      <c r="AB285" s="60" t="n"/>
      <c r="AC285" s="61" t="n"/>
      <c r="AD285" s="60" t="n"/>
      <c r="AE285" s="62" t="n"/>
      <c r="AF285" s="62" t="n"/>
      <c r="AG285" s="62" t="n"/>
      <c r="AH285" s="60" t="n"/>
      <c r="AI285" s="61" t="n"/>
      <c r="AJ285" s="63">
        <f>IF($A285="","",IF(AF285="","Not Enrolled",IF(TODAY()&gt;AF285,"Review Overdue",IF(AF285-TODAY()&lt;=30,"Review Due Soon","Active"))))</f>
        <v/>
      </c>
      <c r="AK285" s="63">
        <f>IF($A285="","",IF(AG285="","NOT REVIEWED",IF(TODAY()-AG285&gt;90,"OVERDUE",IF(TODAY()-AG285&gt;76,"Due Soon","Current"))))</f>
        <v/>
      </c>
    </row>
    <row r="286" ht="15" customHeight="1" s="39">
      <c r="A286" s="60" t="n"/>
      <c r="B286" s="60" t="n"/>
      <c r="C286" s="61" t="n"/>
      <c r="D286" s="61" t="n"/>
      <c r="E286" s="60" t="n"/>
      <c r="F286" s="60" t="n"/>
      <c r="G286" s="62" t="n"/>
      <c r="H286" s="62" t="n"/>
      <c r="I286" s="62" t="n"/>
      <c r="J286" s="60" t="n"/>
      <c r="K286" s="60" t="n"/>
      <c r="L286" s="60" t="n"/>
      <c r="M286" s="61" t="n"/>
      <c r="N286" s="60" t="n"/>
      <c r="O286" s="60" t="n"/>
      <c r="P286" s="60" t="n"/>
      <c r="Q286" s="60" t="n"/>
      <c r="R286" s="60" t="n"/>
      <c r="S286" s="60" t="n"/>
      <c r="T286" s="60" t="n"/>
      <c r="U286" s="60" t="n"/>
      <c r="V286" s="60" t="n"/>
      <c r="W286" s="60" t="n"/>
      <c r="X286" s="60" t="n"/>
      <c r="Y286" s="63">
        <f>IF($H286="","",TODAY()-$H286)</f>
        <v/>
      </c>
      <c r="Z286" s="63">
        <f>IF($A286="","",IF(AND($F286="Yes",OR($U286="No",$U286="NOT FOUND")),"YES",""))</f>
        <v/>
      </c>
      <c r="AA286" s="66">
        <f>IF($A286="","",TRIM(IF(AND($P286=0,$L286&lt;&gt;"Yes"),"T0-NoSmartcard ","")&amp;IF(AND($J286&lt;&gt;"",$J286&gt;365),"StalePwd ","")&amp;IF($K286="Yes","PwdNeverExpires ","")&amp;IF(AND($S286&lt;&gt;"",$S286&lt;&gt;"None"),"Delegation ","")&amp;IF(AND($Q286=1,$O286="None"),"StaleAdminCount ","")&amp;IF(AND($F286="Yes",$H286=""),"NeverLoggedOn ","")))</f>
        <v/>
      </c>
      <c r="AB286" s="60" t="n"/>
      <c r="AC286" s="61" t="n"/>
      <c r="AD286" s="60" t="n"/>
      <c r="AE286" s="62" t="n"/>
      <c r="AF286" s="62" t="n"/>
      <c r="AG286" s="62" t="n"/>
      <c r="AH286" s="60" t="n"/>
      <c r="AI286" s="61" t="n"/>
      <c r="AJ286" s="63">
        <f>IF($A286="","",IF(AF286="","Not Enrolled",IF(TODAY()&gt;AF286,"Review Overdue",IF(AF286-TODAY()&lt;=30,"Review Due Soon","Active"))))</f>
        <v/>
      </c>
      <c r="AK286" s="63">
        <f>IF($A286="","",IF(AG286="","NOT REVIEWED",IF(TODAY()-AG286&gt;90,"OVERDUE",IF(TODAY()-AG286&gt;76,"Due Soon","Current"))))</f>
        <v/>
      </c>
    </row>
    <row r="287" ht="15" customHeight="1" s="39">
      <c r="A287" s="60" t="n"/>
      <c r="B287" s="60" t="n"/>
      <c r="C287" s="61" t="n"/>
      <c r="D287" s="61" t="n"/>
      <c r="E287" s="60" t="n"/>
      <c r="F287" s="60" t="n"/>
      <c r="G287" s="62" t="n"/>
      <c r="H287" s="62" t="n"/>
      <c r="I287" s="62" t="n"/>
      <c r="J287" s="60" t="n"/>
      <c r="K287" s="60" t="n"/>
      <c r="L287" s="60" t="n"/>
      <c r="M287" s="61" t="n"/>
      <c r="N287" s="60" t="n"/>
      <c r="O287" s="60" t="n"/>
      <c r="P287" s="60" t="n"/>
      <c r="Q287" s="60" t="n"/>
      <c r="R287" s="60" t="n"/>
      <c r="S287" s="60" t="n"/>
      <c r="T287" s="60" t="n"/>
      <c r="U287" s="60" t="n"/>
      <c r="V287" s="60" t="n"/>
      <c r="W287" s="60" t="n"/>
      <c r="X287" s="60" t="n"/>
      <c r="Y287" s="63">
        <f>IF($H287="","",TODAY()-$H287)</f>
        <v/>
      </c>
      <c r="Z287" s="63">
        <f>IF($A287="","",IF(AND($F287="Yes",OR($U287="No",$U287="NOT FOUND")),"YES",""))</f>
        <v/>
      </c>
      <c r="AA287" s="66">
        <f>IF($A287="","",TRIM(IF(AND($P287=0,$L287&lt;&gt;"Yes"),"T0-NoSmartcard ","")&amp;IF(AND($J287&lt;&gt;"",$J287&gt;365),"StalePwd ","")&amp;IF($K287="Yes","PwdNeverExpires ","")&amp;IF(AND($S287&lt;&gt;"",$S287&lt;&gt;"None"),"Delegation ","")&amp;IF(AND($Q287=1,$O287="None"),"StaleAdminCount ","")&amp;IF(AND($F287="Yes",$H287=""),"NeverLoggedOn ","")))</f>
        <v/>
      </c>
      <c r="AB287" s="60" t="n"/>
      <c r="AC287" s="61" t="n"/>
      <c r="AD287" s="60" t="n"/>
      <c r="AE287" s="62" t="n"/>
      <c r="AF287" s="62" t="n"/>
      <c r="AG287" s="62" t="n"/>
      <c r="AH287" s="60" t="n"/>
      <c r="AI287" s="61" t="n"/>
      <c r="AJ287" s="63">
        <f>IF($A287="","",IF(AF287="","Not Enrolled",IF(TODAY()&gt;AF287,"Review Overdue",IF(AF287-TODAY()&lt;=30,"Review Due Soon","Active"))))</f>
        <v/>
      </c>
      <c r="AK287" s="63">
        <f>IF($A287="","",IF(AG287="","NOT REVIEWED",IF(TODAY()-AG287&gt;90,"OVERDUE",IF(TODAY()-AG287&gt;76,"Due Soon","Current"))))</f>
        <v/>
      </c>
    </row>
    <row r="288" ht="15" customHeight="1" s="39">
      <c r="A288" s="60" t="n"/>
      <c r="B288" s="60" t="n"/>
      <c r="C288" s="61" t="n"/>
      <c r="D288" s="61" t="n"/>
      <c r="E288" s="60" t="n"/>
      <c r="F288" s="60" t="n"/>
      <c r="G288" s="62" t="n"/>
      <c r="H288" s="62" t="n"/>
      <c r="I288" s="62" t="n"/>
      <c r="J288" s="60" t="n"/>
      <c r="K288" s="60" t="n"/>
      <c r="L288" s="60" t="n"/>
      <c r="M288" s="61" t="n"/>
      <c r="N288" s="60" t="n"/>
      <c r="O288" s="60" t="n"/>
      <c r="P288" s="60" t="n"/>
      <c r="Q288" s="60" t="n"/>
      <c r="R288" s="60" t="n"/>
      <c r="S288" s="60" t="n"/>
      <c r="T288" s="60" t="n"/>
      <c r="U288" s="60" t="n"/>
      <c r="V288" s="60" t="n"/>
      <c r="W288" s="60" t="n"/>
      <c r="X288" s="60" t="n"/>
      <c r="Y288" s="63">
        <f>IF($H288="","",TODAY()-$H288)</f>
        <v/>
      </c>
      <c r="Z288" s="63">
        <f>IF($A288="","",IF(AND($F288="Yes",OR($U288="No",$U288="NOT FOUND")),"YES",""))</f>
        <v/>
      </c>
      <c r="AA288" s="66">
        <f>IF($A288="","",TRIM(IF(AND($P288=0,$L288&lt;&gt;"Yes"),"T0-NoSmartcard ","")&amp;IF(AND($J288&lt;&gt;"",$J288&gt;365),"StalePwd ","")&amp;IF($K288="Yes","PwdNeverExpires ","")&amp;IF(AND($S288&lt;&gt;"",$S288&lt;&gt;"None"),"Delegation ","")&amp;IF(AND($Q288=1,$O288="None"),"StaleAdminCount ","")&amp;IF(AND($F288="Yes",$H288=""),"NeverLoggedOn ","")))</f>
        <v/>
      </c>
      <c r="AB288" s="60" t="n"/>
      <c r="AC288" s="61" t="n"/>
      <c r="AD288" s="60" t="n"/>
      <c r="AE288" s="62" t="n"/>
      <c r="AF288" s="62" t="n"/>
      <c r="AG288" s="62" t="n"/>
      <c r="AH288" s="60" t="n"/>
      <c r="AI288" s="61" t="n"/>
      <c r="AJ288" s="63">
        <f>IF($A288="","",IF(AF288="","Not Enrolled",IF(TODAY()&gt;AF288,"Review Overdue",IF(AF288-TODAY()&lt;=30,"Review Due Soon","Active"))))</f>
        <v/>
      </c>
      <c r="AK288" s="63">
        <f>IF($A288="","",IF(AG288="","NOT REVIEWED",IF(TODAY()-AG288&gt;90,"OVERDUE",IF(TODAY()-AG288&gt;76,"Due Soon","Current"))))</f>
        <v/>
      </c>
    </row>
    <row r="289" ht="15" customHeight="1" s="39">
      <c r="A289" s="60" t="n"/>
      <c r="B289" s="60" t="n"/>
      <c r="C289" s="61" t="n"/>
      <c r="D289" s="61" t="n"/>
      <c r="E289" s="60" t="n"/>
      <c r="F289" s="60" t="n"/>
      <c r="G289" s="62" t="n"/>
      <c r="H289" s="62" t="n"/>
      <c r="I289" s="62" t="n"/>
      <c r="J289" s="60" t="n"/>
      <c r="K289" s="60" t="n"/>
      <c r="L289" s="60" t="n"/>
      <c r="M289" s="61" t="n"/>
      <c r="N289" s="60" t="n"/>
      <c r="O289" s="60" t="n"/>
      <c r="P289" s="60" t="n"/>
      <c r="Q289" s="60" t="n"/>
      <c r="R289" s="60" t="n"/>
      <c r="S289" s="60" t="n"/>
      <c r="T289" s="60" t="n"/>
      <c r="U289" s="60" t="n"/>
      <c r="V289" s="60" t="n"/>
      <c r="W289" s="60" t="n"/>
      <c r="X289" s="60" t="n"/>
      <c r="Y289" s="63">
        <f>IF($H289="","",TODAY()-$H289)</f>
        <v/>
      </c>
      <c r="Z289" s="63">
        <f>IF($A289="","",IF(AND($F289="Yes",OR($U289="No",$U289="NOT FOUND")),"YES",""))</f>
        <v/>
      </c>
      <c r="AA289" s="66">
        <f>IF($A289="","",TRIM(IF(AND($P289=0,$L289&lt;&gt;"Yes"),"T0-NoSmartcard ","")&amp;IF(AND($J289&lt;&gt;"",$J289&gt;365),"StalePwd ","")&amp;IF($K289="Yes","PwdNeverExpires ","")&amp;IF(AND($S289&lt;&gt;"",$S289&lt;&gt;"None"),"Delegation ","")&amp;IF(AND($Q289=1,$O289="None"),"StaleAdminCount ","")&amp;IF(AND($F289="Yes",$H289=""),"NeverLoggedOn ","")))</f>
        <v/>
      </c>
      <c r="AB289" s="60" t="n"/>
      <c r="AC289" s="61" t="n"/>
      <c r="AD289" s="60" t="n"/>
      <c r="AE289" s="62" t="n"/>
      <c r="AF289" s="62" t="n"/>
      <c r="AG289" s="62" t="n"/>
      <c r="AH289" s="60" t="n"/>
      <c r="AI289" s="61" t="n"/>
      <c r="AJ289" s="63">
        <f>IF($A289="","",IF(AF289="","Not Enrolled",IF(TODAY()&gt;AF289,"Review Overdue",IF(AF289-TODAY()&lt;=30,"Review Due Soon","Active"))))</f>
        <v/>
      </c>
      <c r="AK289" s="63">
        <f>IF($A289="","",IF(AG289="","NOT REVIEWED",IF(TODAY()-AG289&gt;90,"OVERDUE",IF(TODAY()-AG289&gt;76,"Due Soon","Current"))))</f>
        <v/>
      </c>
    </row>
    <row r="290" ht="15" customHeight="1" s="39">
      <c r="A290" s="60" t="n"/>
      <c r="B290" s="60" t="n"/>
      <c r="C290" s="61" t="n"/>
      <c r="D290" s="61" t="n"/>
      <c r="E290" s="60" t="n"/>
      <c r="F290" s="60" t="n"/>
      <c r="G290" s="62" t="n"/>
      <c r="H290" s="62" t="n"/>
      <c r="I290" s="62" t="n"/>
      <c r="J290" s="60" t="n"/>
      <c r="K290" s="60" t="n"/>
      <c r="L290" s="60" t="n"/>
      <c r="M290" s="61" t="n"/>
      <c r="N290" s="60" t="n"/>
      <c r="O290" s="60" t="n"/>
      <c r="P290" s="60" t="n"/>
      <c r="Q290" s="60" t="n"/>
      <c r="R290" s="60" t="n"/>
      <c r="S290" s="60" t="n"/>
      <c r="T290" s="60" t="n"/>
      <c r="U290" s="60" t="n"/>
      <c r="V290" s="60" t="n"/>
      <c r="W290" s="60" t="n"/>
      <c r="X290" s="60" t="n"/>
      <c r="Y290" s="63">
        <f>IF($H290="","",TODAY()-$H290)</f>
        <v/>
      </c>
      <c r="Z290" s="63">
        <f>IF($A290="","",IF(AND($F290="Yes",OR($U290="No",$U290="NOT FOUND")),"YES",""))</f>
        <v/>
      </c>
      <c r="AA290" s="66">
        <f>IF($A290="","",TRIM(IF(AND($P290=0,$L290&lt;&gt;"Yes"),"T0-NoSmartcard ","")&amp;IF(AND($J290&lt;&gt;"",$J290&gt;365),"StalePwd ","")&amp;IF($K290="Yes","PwdNeverExpires ","")&amp;IF(AND($S290&lt;&gt;"",$S290&lt;&gt;"None"),"Delegation ","")&amp;IF(AND($Q290=1,$O290="None"),"StaleAdminCount ","")&amp;IF(AND($F290="Yes",$H290=""),"NeverLoggedOn ","")))</f>
        <v/>
      </c>
      <c r="AB290" s="60" t="n"/>
      <c r="AC290" s="61" t="n"/>
      <c r="AD290" s="60" t="n"/>
      <c r="AE290" s="62" t="n"/>
      <c r="AF290" s="62" t="n"/>
      <c r="AG290" s="62" t="n"/>
      <c r="AH290" s="60" t="n"/>
      <c r="AI290" s="61" t="n"/>
      <c r="AJ290" s="63">
        <f>IF($A290="","",IF(AF290="","Not Enrolled",IF(TODAY()&gt;AF290,"Review Overdue",IF(AF290-TODAY()&lt;=30,"Review Due Soon","Active"))))</f>
        <v/>
      </c>
      <c r="AK290" s="63">
        <f>IF($A290="","",IF(AG290="","NOT REVIEWED",IF(TODAY()-AG290&gt;90,"OVERDUE",IF(TODAY()-AG290&gt;76,"Due Soon","Current"))))</f>
        <v/>
      </c>
    </row>
    <row r="291" ht="15" customHeight="1" s="39">
      <c r="A291" s="60" t="n"/>
      <c r="B291" s="60" t="n"/>
      <c r="C291" s="61" t="n"/>
      <c r="D291" s="61" t="n"/>
      <c r="E291" s="60" t="n"/>
      <c r="F291" s="60" t="n"/>
      <c r="G291" s="62" t="n"/>
      <c r="H291" s="62" t="n"/>
      <c r="I291" s="62" t="n"/>
      <c r="J291" s="60" t="n"/>
      <c r="K291" s="60" t="n"/>
      <c r="L291" s="60" t="n"/>
      <c r="M291" s="61" t="n"/>
      <c r="N291" s="60" t="n"/>
      <c r="O291" s="60" t="n"/>
      <c r="P291" s="60" t="n"/>
      <c r="Q291" s="60" t="n"/>
      <c r="R291" s="60" t="n"/>
      <c r="S291" s="60" t="n"/>
      <c r="T291" s="60" t="n"/>
      <c r="U291" s="60" t="n"/>
      <c r="V291" s="60" t="n"/>
      <c r="W291" s="60" t="n"/>
      <c r="X291" s="60" t="n"/>
      <c r="Y291" s="63">
        <f>IF($H291="","",TODAY()-$H291)</f>
        <v/>
      </c>
      <c r="Z291" s="63">
        <f>IF($A291="","",IF(AND($F291="Yes",OR($U291="No",$U291="NOT FOUND")),"YES",""))</f>
        <v/>
      </c>
      <c r="AA291" s="66">
        <f>IF($A291="","",TRIM(IF(AND($P291=0,$L291&lt;&gt;"Yes"),"T0-NoSmartcard ","")&amp;IF(AND($J291&lt;&gt;"",$J291&gt;365),"StalePwd ","")&amp;IF($K291="Yes","PwdNeverExpires ","")&amp;IF(AND($S291&lt;&gt;"",$S291&lt;&gt;"None"),"Delegation ","")&amp;IF(AND($Q291=1,$O291="None"),"StaleAdminCount ","")&amp;IF(AND($F291="Yes",$H291=""),"NeverLoggedOn ","")))</f>
        <v/>
      </c>
      <c r="AB291" s="60" t="n"/>
      <c r="AC291" s="61" t="n"/>
      <c r="AD291" s="60" t="n"/>
      <c r="AE291" s="62" t="n"/>
      <c r="AF291" s="62" t="n"/>
      <c r="AG291" s="62" t="n"/>
      <c r="AH291" s="60" t="n"/>
      <c r="AI291" s="61" t="n"/>
      <c r="AJ291" s="63">
        <f>IF($A291="","",IF(AF291="","Not Enrolled",IF(TODAY()&gt;AF291,"Review Overdue",IF(AF291-TODAY()&lt;=30,"Review Due Soon","Active"))))</f>
        <v/>
      </c>
      <c r="AK291" s="63">
        <f>IF($A291="","",IF(AG291="","NOT REVIEWED",IF(TODAY()-AG291&gt;90,"OVERDUE",IF(TODAY()-AG291&gt;76,"Due Soon","Current"))))</f>
        <v/>
      </c>
    </row>
    <row r="292" ht="15" customHeight="1" s="39">
      <c r="A292" s="60" t="n"/>
      <c r="B292" s="60" t="n"/>
      <c r="C292" s="61" t="n"/>
      <c r="D292" s="61" t="n"/>
      <c r="E292" s="60" t="n"/>
      <c r="F292" s="60" t="n"/>
      <c r="G292" s="62" t="n"/>
      <c r="H292" s="62" t="n"/>
      <c r="I292" s="62" t="n"/>
      <c r="J292" s="60" t="n"/>
      <c r="K292" s="60" t="n"/>
      <c r="L292" s="60" t="n"/>
      <c r="M292" s="61" t="n"/>
      <c r="N292" s="60" t="n"/>
      <c r="O292" s="60" t="n"/>
      <c r="P292" s="60" t="n"/>
      <c r="Q292" s="60" t="n"/>
      <c r="R292" s="60" t="n"/>
      <c r="S292" s="60" t="n"/>
      <c r="T292" s="60" t="n"/>
      <c r="U292" s="60" t="n"/>
      <c r="V292" s="60" t="n"/>
      <c r="W292" s="60" t="n"/>
      <c r="X292" s="60" t="n"/>
      <c r="Y292" s="63">
        <f>IF($H292="","",TODAY()-$H292)</f>
        <v/>
      </c>
      <c r="Z292" s="63">
        <f>IF($A292="","",IF(AND($F292="Yes",OR($U292="No",$U292="NOT FOUND")),"YES",""))</f>
        <v/>
      </c>
      <c r="AA292" s="66">
        <f>IF($A292="","",TRIM(IF(AND($P292=0,$L292&lt;&gt;"Yes"),"T0-NoSmartcard ","")&amp;IF(AND($J292&lt;&gt;"",$J292&gt;365),"StalePwd ","")&amp;IF($K292="Yes","PwdNeverExpires ","")&amp;IF(AND($S292&lt;&gt;"",$S292&lt;&gt;"None"),"Delegation ","")&amp;IF(AND($Q292=1,$O292="None"),"StaleAdminCount ","")&amp;IF(AND($F292="Yes",$H292=""),"NeverLoggedOn ","")))</f>
        <v/>
      </c>
      <c r="AB292" s="60" t="n"/>
      <c r="AC292" s="61" t="n"/>
      <c r="AD292" s="60" t="n"/>
      <c r="AE292" s="62" t="n"/>
      <c r="AF292" s="62" t="n"/>
      <c r="AG292" s="62" t="n"/>
      <c r="AH292" s="60" t="n"/>
      <c r="AI292" s="61" t="n"/>
      <c r="AJ292" s="63">
        <f>IF($A292="","",IF(AF292="","Not Enrolled",IF(TODAY()&gt;AF292,"Review Overdue",IF(AF292-TODAY()&lt;=30,"Review Due Soon","Active"))))</f>
        <v/>
      </c>
      <c r="AK292" s="63">
        <f>IF($A292="","",IF(AG292="","NOT REVIEWED",IF(TODAY()-AG292&gt;90,"OVERDUE",IF(TODAY()-AG292&gt;76,"Due Soon","Current"))))</f>
        <v/>
      </c>
    </row>
    <row r="293" ht="15" customHeight="1" s="39">
      <c r="A293" s="60" t="n"/>
      <c r="B293" s="60" t="n"/>
      <c r="C293" s="61" t="n"/>
      <c r="D293" s="61" t="n"/>
      <c r="E293" s="60" t="n"/>
      <c r="F293" s="60" t="n"/>
      <c r="G293" s="62" t="n"/>
      <c r="H293" s="62" t="n"/>
      <c r="I293" s="62" t="n"/>
      <c r="J293" s="60" t="n"/>
      <c r="K293" s="60" t="n"/>
      <c r="L293" s="60" t="n"/>
      <c r="M293" s="61" t="n"/>
      <c r="N293" s="60" t="n"/>
      <c r="O293" s="60" t="n"/>
      <c r="P293" s="60" t="n"/>
      <c r="Q293" s="60" t="n"/>
      <c r="R293" s="60" t="n"/>
      <c r="S293" s="60" t="n"/>
      <c r="T293" s="60" t="n"/>
      <c r="U293" s="60" t="n"/>
      <c r="V293" s="60" t="n"/>
      <c r="W293" s="60" t="n"/>
      <c r="X293" s="60" t="n"/>
      <c r="Y293" s="63">
        <f>IF($H293="","",TODAY()-$H293)</f>
        <v/>
      </c>
      <c r="Z293" s="63">
        <f>IF($A293="","",IF(AND($F293="Yes",OR($U293="No",$U293="NOT FOUND")),"YES",""))</f>
        <v/>
      </c>
      <c r="AA293" s="66">
        <f>IF($A293="","",TRIM(IF(AND($P293=0,$L293&lt;&gt;"Yes"),"T0-NoSmartcard ","")&amp;IF(AND($J293&lt;&gt;"",$J293&gt;365),"StalePwd ","")&amp;IF($K293="Yes","PwdNeverExpires ","")&amp;IF(AND($S293&lt;&gt;"",$S293&lt;&gt;"None"),"Delegation ","")&amp;IF(AND($Q293=1,$O293="None"),"StaleAdminCount ","")&amp;IF(AND($F293="Yes",$H293=""),"NeverLoggedOn ","")))</f>
        <v/>
      </c>
      <c r="AB293" s="60" t="n"/>
      <c r="AC293" s="61" t="n"/>
      <c r="AD293" s="60" t="n"/>
      <c r="AE293" s="62" t="n"/>
      <c r="AF293" s="62" t="n"/>
      <c r="AG293" s="62" t="n"/>
      <c r="AH293" s="60" t="n"/>
      <c r="AI293" s="61" t="n"/>
      <c r="AJ293" s="63">
        <f>IF($A293="","",IF(AF293="","Not Enrolled",IF(TODAY()&gt;AF293,"Review Overdue",IF(AF293-TODAY()&lt;=30,"Review Due Soon","Active"))))</f>
        <v/>
      </c>
      <c r="AK293" s="63">
        <f>IF($A293="","",IF(AG293="","NOT REVIEWED",IF(TODAY()-AG293&gt;90,"OVERDUE",IF(TODAY()-AG293&gt;76,"Due Soon","Current"))))</f>
        <v/>
      </c>
    </row>
    <row r="294" ht="15" customHeight="1" s="39">
      <c r="A294" s="60" t="n"/>
      <c r="B294" s="60" t="n"/>
      <c r="C294" s="61" t="n"/>
      <c r="D294" s="61" t="n"/>
      <c r="E294" s="60" t="n"/>
      <c r="F294" s="60" t="n"/>
      <c r="G294" s="62" t="n"/>
      <c r="H294" s="62" t="n"/>
      <c r="I294" s="62" t="n"/>
      <c r="J294" s="60" t="n"/>
      <c r="K294" s="60" t="n"/>
      <c r="L294" s="60" t="n"/>
      <c r="M294" s="61" t="n"/>
      <c r="N294" s="60" t="n"/>
      <c r="O294" s="60" t="n"/>
      <c r="P294" s="60" t="n"/>
      <c r="Q294" s="60" t="n"/>
      <c r="R294" s="60" t="n"/>
      <c r="S294" s="60" t="n"/>
      <c r="T294" s="60" t="n"/>
      <c r="U294" s="60" t="n"/>
      <c r="V294" s="60" t="n"/>
      <c r="W294" s="60" t="n"/>
      <c r="X294" s="60" t="n"/>
      <c r="Y294" s="63">
        <f>IF($H294="","",TODAY()-$H294)</f>
        <v/>
      </c>
      <c r="Z294" s="63">
        <f>IF($A294="","",IF(AND($F294="Yes",OR($U294="No",$U294="NOT FOUND")),"YES",""))</f>
        <v/>
      </c>
      <c r="AA294" s="66">
        <f>IF($A294="","",TRIM(IF(AND($P294=0,$L294&lt;&gt;"Yes"),"T0-NoSmartcard ","")&amp;IF(AND($J294&lt;&gt;"",$J294&gt;365),"StalePwd ","")&amp;IF($K294="Yes","PwdNeverExpires ","")&amp;IF(AND($S294&lt;&gt;"",$S294&lt;&gt;"None"),"Delegation ","")&amp;IF(AND($Q294=1,$O294="None"),"StaleAdminCount ","")&amp;IF(AND($F294="Yes",$H294=""),"NeverLoggedOn ","")))</f>
        <v/>
      </c>
      <c r="AB294" s="60" t="n"/>
      <c r="AC294" s="61" t="n"/>
      <c r="AD294" s="60" t="n"/>
      <c r="AE294" s="62" t="n"/>
      <c r="AF294" s="62" t="n"/>
      <c r="AG294" s="62" t="n"/>
      <c r="AH294" s="60" t="n"/>
      <c r="AI294" s="61" t="n"/>
      <c r="AJ294" s="63">
        <f>IF($A294="","",IF(AF294="","Not Enrolled",IF(TODAY()&gt;AF294,"Review Overdue",IF(AF294-TODAY()&lt;=30,"Review Due Soon","Active"))))</f>
        <v/>
      </c>
      <c r="AK294" s="63">
        <f>IF($A294="","",IF(AG294="","NOT REVIEWED",IF(TODAY()-AG294&gt;90,"OVERDUE",IF(TODAY()-AG294&gt;76,"Due Soon","Current"))))</f>
        <v/>
      </c>
    </row>
    <row r="295" ht="15" customHeight="1" s="39">
      <c r="A295" s="60" t="n"/>
      <c r="B295" s="60" t="n"/>
      <c r="C295" s="61" t="n"/>
      <c r="D295" s="61" t="n"/>
      <c r="E295" s="60" t="n"/>
      <c r="F295" s="60" t="n"/>
      <c r="G295" s="62" t="n"/>
      <c r="H295" s="62" t="n"/>
      <c r="I295" s="62" t="n"/>
      <c r="J295" s="60" t="n"/>
      <c r="K295" s="60" t="n"/>
      <c r="L295" s="60" t="n"/>
      <c r="M295" s="61" t="n"/>
      <c r="N295" s="60" t="n"/>
      <c r="O295" s="60" t="n"/>
      <c r="P295" s="60" t="n"/>
      <c r="Q295" s="60" t="n"/>
      <c r="R295" s="60" t="n"/>
      <c r="S295" s="60" t="n"/>
      <c r="T295" s="60" t="n"/>
      <c r="U295" s="60" t="n"/>
      <c r="V295" s="60" t="n"/>
      <c r="W295" s="60" t="n"/>
      <c r="X295" s="60" t="n"/>
      <c r="Y295" s="63">
        <f>IF($H295="","",TODAY()-$H295)</f>
        <v/>
      </c>
      <c r="Z295" s="63">
        <f>IF($A295="","",IF(AND($F295="Yes",OR($U295="No",$U295="NOT FOUND")),"YES",""))</f>
        <v/>
      </c>
      <c r="AA295" s="66">
        <f>IF($A295="","",TRIM(IF(AND($P295=0,$L295&lt;&gt;"Yes"),"T0-NoSmartcard ","")&amp;IF(AND($J295&lt;&gt;"",$J295&gt;365),"StalePwd ","")&amp;IF($K295="Yes","PwdNeverExpires ","")&amp;IF(AND($S295&lt;&gt;"",$S295&lt;&gt;"None"),"Delegation ","")&amp;IF(AND($Q295=1,$O295="None"),"StaleAdminCount ","")&amp;IF(AND($F295="Yes",$H295=""),"NeverLoggedOn ","")))</f>
        <v/>
      </c>
      <c r="AB295" s="60" t="n"/>
      <c r="AC295" s="61" t="n"/>
      <c r="AD295" s="60" t="n"/>
      <c r="AE295" s="62" t="n"/>
      <c r="AF295" s="62" t="n"/>
      <c r="AG295" s="62" t="n"/>
      <c r="AH295" s="60" t="n"/>
      <c r="AI295" s="61" t="n"/>
      <c r="AJ295" s="63">
        <f>IF($A295="","",IF(AF295="","Not Enrolled",IF(TODAY()&gt;AF295,"Review Overdue",IF(AF295-TODAY()&lt;=30,"Review Due Soon","Active"))))</f>
        <v/>
      </c>
      <c r="AK295" s="63">
        <f>IF($A295="","",IF(AG295="","NOT REVIEWED",IF(TODAY()-AG295&gt;90,"OVERDUE",IF(TODAY()-AG295&gt;76,"Due Soon","Current"))))</f>
        <v/>
      </c>
    </row>
    <row r="296" ht="15" customHeight="1" s="39">
      <c r="A296" s="60" t="n"/>
      <c r="B296" s="60" t="n"/>
      <c r="C296" s="61" t="n"/>
      <c r="D296" s="61" t="n"/>
      <c r="E296" s="60" t="n"/>
      <c r="F296" s="60" t="n"/>
      <c r="G296" s="62" t="n"/>
      <c r="H296" s="62" t="n"/>
      <c r="I296" s="62" t="n"/>
      <c r="J296" s="60" t="n"/>
      <c r="K296" s="60" t="n"/>
      <c r="L296" s="60" t="n"/>
      <c r="M296" s="61" t="n"/>
      <c r="N296" s="60" t="n"/>
      <c r="O296" s="60" t="n"/>
      <c r="P296" s="60" t="n"/>
      <c r="Q296" s="60" t="n"/>
      <c r="R296" s="60" t="n"/>
      <c r="S296" s="60" t="n"/>
      <c r="T296" s="60" t="n"/>
      <c r="U296" s="60" t="n"/>
      <c r="V296" s="60" t="n"/>
      <c r="W296" s="60" t="n"/>
      <c r="X296" s="60" t="n"/>
      <c r="Y296" s="63">
        <f>IF($H296="","",TODAY()-$H296)</f>
        <v/>
      </c>
      <c r="Z296" s="63">
        <f>IF($A296="","",IF(AND($F296="Yes",OR($U296="No",$U296="NOT FOUND")),"YES",""))</f>
        <v/>
      </c>
      <c r="AA296" s="66">
        <f>IF($A296="","",TRIM(IF(AND($P296=0,$L296&lt;&gt;"Yes"),"T0-NoSmartcard ","")&amp;IF(AND($J296&lt;&gt;"",$J296&gt;365),"StalePwd ","")&amp;IF($K296="Yes","PwdNeverExpires ","")&amp;IF(AND($S296&lt;&gt;"",$S296&lt;&gt;"None"),"Delegation ","")&amp;IF(AND($Q296=1,$O296="None"),"StaleAdminCount ","")&amp;IF(AND($F296="Yes",$H296=""),"NeverLoggedOn ","")))</f>
        <v/>
      </c>
      <c r="AB296" s="60" t="n"/>
      <c r="AC296" s="61" t="n"/>
      <c r="AD296" s="60" t="n"/>
      <c r="AE296" s="62" t="n"/>
      <c r="AF296" s="62" t="n"/>
      <c r="AG296" s="62" t="n"/>
      <c r="AH296" s="60" t="n"/>
      <c r="AI296" s="61" t="n"/>
      <c r="AJ296" s="63">
        <f>IF($A296="","",IF(AF296="","Not Enrolled",IF(TODAY()&gt;AF296,"Review Overdue",IF(AF296-TODAY()&lt;=30,"Review Due Soon","Active"))))</f>
        <v/>
      </c>
      <c r="AK296" s="63">
        <f>IF($A296="","",IF(AG296="","NOT REVIEWED",IF(TODAY()-AG296&gt;90,"OVERDUE",IF(TODAY()-AG296&gt;76,"Due Soon","Current"))))</f>
        <v/>
      </c>
    </row>
    <row r="297" ht="15" customHeight="1" s="39">
      <c r="A297" s="60" t="n"/>
      <c r="B297" s="60" t="n"/>
      <c r="C297" s="61" t="n"/>
      <c r="D297" s="61" t="n"/>
      <c r="E297" s="60" t="n"/>
      <c r="F297" s="60" t="n"/>
      <c r="G297" s="62" t="n"/>
      <c r="H297" s="62" t="n"/>
      <c r="I297" s="62" t="n"/>
      <c r="J297" s="60" t="n"/>
      <c r="K297" s="60" t="n"/>
      <c r="L297" s="60" t="n"/>
      <c r="M297" s="61" t="n"/>
      <c r="N297" s="60" t="n"/>
      <c r="O297" s="60" t="n"/>
      <c r="P297" s="60" t="n"/>
      <c r="Q297" s="60" t="n"/>
      <c r="R297" s="60" t="n"/>
      <c r="S297" s="60" t="n"/>
      <c r="T297" s="60" t="n"/>
      <c r="U297" s="60" t="n"/>
      <c r="V297" s="60" t="n"/>
      <c r="W297" s="60" t="n"/>
      <c r="X297" s="60" t="n"/>
      <c r="Y297" s="63">
        <f>IF($H297="","",TODAY()-$H297)</f>
        <v/>
      </c>
      <c r="Z297" s="63">
        <f>IF($A297="","",IF(AND($F297="Yes",OR($U297="No",$U297="NOT FOUND")),"YES",""))</f>
        <v/>
      </c>
      <c r="AA297" s="66">
        <f>IF($A297="","",TRIM(IF(AND($P297=0,$L297&lt;&gt;"Yes"),"T0-NoSmartcard ","")&amp;IF(AND($J297&lt;&gt;"",$J297&gt;365),"StalePwd ","")&amp;IF($K297="Yes","PwdNeverExpires ","")&amp;IF(AND($S297&lt;&gt;"",$S297&lt;&gt;"None"),"Delegation ","")&amp;IF(AND($Q297=1,$O297="None"),"StaleAdminCount ","")&amp;IF(AND($F297="Yes",$H297=""),"NeverLoggedOn ","")))</f>
        <v/>
      </c>
      <c r="AB297" s="60" t="n"/>
      <c r="AC297" s="61" t="n"/>
      <c r="AD297" s="60" t="n"/>
      <c r="AE297" s="62" t="n"/>
      <c r="AF297" s="62" t="n"/>
      <c r="AG297" s="62" t="n"/>
      <c r="AH297" s="60" t="n"/>
      <c r="AI297" s="61" t="n"/>
      <c r="AJ297" s="63">
        <f>IF($A297="","",IF(AF297="","Not Enrolled",IF(TODAY()&gt;AF297,"Review Overdue",IF(AF297-TODAY()&lt;=30,"Review Due Soon","Active"))))</f>
        <v/>
      </c>
      <c r="AK297" s="63">
        <f>IF($A297="","",IF(AG297="","NOT REVIEWED",IF(TODAY()-AG297&gt;90,"OVERDUE",IF(TODAY()-AG297&gt;76,"Due Soon","Current"))))</f>
        <v/>
      </c>
    </row>
    <row r="298" ht="15" customHeight="1" s="39">
      <c r="A298" s="60" t="n"/>
      <c r="B298" s="60" t="n"/>
      <c r="C298" s="61" t="n"/>
      <c r="D298" s="61" t="n"/>
      <c r="E298" s="60" t="n"/>
      <c r="F298" s="60" t="n"/>
      <c r="G298" s="62" t="n"/>
      <c r="H298" s="62" t="n"/>
      <c r="I298" s="62" t="n"/>
      <c r="J298" s="60" t="n"/>
      <c r="K298" s="60" t="n"/>
      <c r="L298" s="60" t="n"/>
      <c r="M298" s="61" t="n"/>
      <c r="N298" s="60" t="n"/>
      <c r="O298" s="60" t="n"/>
      <c r="P298" s="60" t="n"/>
      <c r="Q298" s="60" t="n"/>
      <c r="R298" s="60" t="n"/>
      <c r="S298" s="60" t="n"/>
      <c r="T298" s="60" t="n"/>
      <c r="U298" s="60" t="n"/>
      <c r="V298" s="60" t="n"/>
      <c r="W298" s="60" t="n"/>
      <c r="X298" s="60" t="n"/>
      <c r="Y298" s="63">
        <f>IF($H298="","",TODAY()-$H298)</f>
        <v/>
      </c>
      <c r="Z298" s="63">
        <f>IF($A298="","",IF(AND($F298="Yes",OR($U298="No",$U298="NOT FOUND")),"YES",""))</f>
        <v/>
      </c>
      <c r="AA298" s="66">
        <f>IF($A298="","",TRIM(IF(AND($P298=0,$L298&lt;&gt;"Yes"),"T0-NoSmartcard ","")&amp;IF(AND($J298&lt;&gt;"",$J298&gt;365),"StalePwd ","")&amp;IF($K298="Yes","PwdNeverExpires ","")&amp;IF(AND($S298&lt;&gt;"",$S298&lt;&gt;"None"),"Delegation ","")&amp;IF(AND($Q298=1,$O298="None"),"StaleAdminCount ","")&amp;IF(AND($F298="Yes",$H298=""),"NeverLoggedOn ","")))</f>
        <v/>
      </c>
      <c r="AB298" s="60" t="n"/>
      <c r="AC298" s="61" t="n"/>
      <c r="AD298" s="60" t="n"/>
      <c r="AE298" s="62" t="n"/>
      <c r="AF298" s="62" t="n"/>
      <c r="AG298" s="62" t="n"/>
      <c r="AH298" s="60" t="n"/>
      <c r="AI298" s="61" t="n"/>
      <c r="AJ298" s="63">
        <f>IF($A298="","",IF(AF298="","Not Enrolled",IF(TODAY()&gt;AF298,"Review Overdue",IF(AF298-TODAY()&lt;=30,"Review Due Soon","Active"))))</f>
        <v/>
      </c>
      <c r="AK298" s="63">
        <f>IF($A298="","",IF(AG298="","NOT REVIEWED",IF(TODAY()-AG298&gt;90,"OVERDUE",IF(TODAY()-AG298&gt;76,"Due Soon","Current"))))</f>
        <v/>
      </c>
    </row>
    <row r="299" ht="15" customHeight="1" s="39">
      <c r="A299" s="60" t="n"/>
      <c r="B299" s="60" t="n"/>
      <c r="C299" s="61" t="n"/>
      <c r="D299" s="61" t="n"/>
      <c r="E299" s="60" t="n"/>
      <c r="F299" s="60" t="n"/>
      <c r="G299" s="62" t="n"/>
      <c r="H299" s="62" t="n"/>
      <c r="I299" s="62" t="n"/>
      <c r="J299" s="60" t="n"/>
      <c r="K299" s="60" t="n"/>
      <c r="L299" s="60" t="n"/>
      <c r="M299" s="61" t="n"/>
      <c r="N299" s="60" t="n"/>
      <c r="O299" s="60" t="n"/>
      <c r="P299" s="60" t="n"/>
      <c r="Q299" s="60" t="n"/>
      <c r="R299" s="60" t="n"/>
      <c r="S299" s="60" t="n"/>
      <c r="T299" s="60" t="n"/>
      <c r="U299" s="60" t="n"/>
      <c r="V299" s="60" t="n"/>
      <c r="W299" s="60" t="n"/>
      <c r="X299" s="60" t="n"/>
      <c r="Y299" s="63">
        <f>IF($H299="","",TODAY()-$H299)</f>
        <v/>
      </c>
      <c r="Z299" s="63">
        <f>IF($A299="","",IF(AND($F299="Yes",OR($U299="No",$U299="NOT FOUND")),"YES",""))</f>
        <v/>
      </c>
      <c r="AA299" s="66">
        <f>IF($A299="","",TRIM(IF(AND($P299=0,$L299&lt;&gt;"Yes"),"T0-NoSmartcard ","")&amp;IF(AND($J299&lt;&gt;"",$J299&gt;365),"StalePwd ","")&amp;IF($K299="Yes","PwdNeverExpires ","")&amp;IF(AND($S299&lt;&gt;"",$S299&lt;&gt;"None"),"Delegation ","")&amp;IF(AND($Q299=1,$O299="None"),"StaleAdminCount ","")&amp;IF(AND($F299="Yes",$H299=""),"NeverLoggedOn ","")))</f>
        <v/>
      </c>
      <c r="AB299" s="60" t="n"/>
      <c r="AC299" s="61" t="n"/>
      <c r="AD299" s="60" t="n"/>
      <c r="AE299" s="62" t="n"/>
      <c r="AF299" s="62" t="n"/>
      <c r="AG299" s="62" t="n"/>
      <c r="AH299" s="60" t="n"/>
      <c r="AI299" s="61" t="n"/>
      <c r="AJ299" s="63">
        <f>IF($A299="","",IF(AF299="","Not Enrolled",IF(TODAY()&gt;AF299,"Review Overdue",IF(AF299-TODAY()&lt;=30,"Review Due Soon","Active"))))</f>
        <v/>
      </c>
      <c r="AK299" s="63">
        <f>IF($A299="","",IF(AG299="","NOT REVIEWED",IF(TODAY()-AG299&gt;90,"OVERDUE",IF(TODAY()-AG299&gt;76,"Due Soon","Current"))))</f>
        <v/>
      </c>
    </row>
    <row r="300" ht="15" customHeight="1" s="39">
      <c r="A300" s="60" t="n"/>
      <c r="B300" s="60" t="n"/>
      <c r="C300" s="61" t="n"/>
      <c r="D300" s="61" t="n"/>
      <c r="E300" s="60" t="n"/>
      <c r="F300" s="60" t="n"/>
      <c r="G300" s="62" t="n"/>
      <c r="H300" s="62" t="n"/>
      <c r="I300" s="62" t="n"/>
      <c r="J300" s="60" t="n"/>
      <c r="K300" s="60" t="n"/>
      <c r="L300" s="60" t="n"/>
      <c r="M300" s="61" t="n"/>
      <c r="N300" s="60" t="n"/>
      <c r="O300" s="60" t="n"/>
      <c r="P300" s="60" t="n"/>
      <c r="Q300" s="60" t="n"/>
      <c r="R300" s="60" t="n"/>
      <c r="S300" s="60" t="n"/>
      <c r="T300" s="60" t="n"/>
      <c r="U300" s="60" t="n"/>
      <c r="V300" s="60" t="n"/>
      <c r="W300" s="60" t="n"/>
      <c r="X300" s="60" t="n"/>
      <c r="Y300" s="63">
        <f>IF($H300="","",TODAY()-$H300)</f>
        <v/>
      </c>
      <c r="Z300" s="63">
        <f>IF($A300="","",IF(AND($F300="Yes",OR($U300="No",$U300="NOT FOUND")),"YES",""))</f>
        <v/>
      </c>
      <c r="AA300" s="66">
        <f>IF($A300="","",TRIM(IF(AND($P300=0,$L300&lt;&gt;"Yes"),"T0-NoSmartcard ","")&amp;IF(AND($J300&lt;&gt;"",$J300&gt;365),"StalePwd ","")&amp;IF($K300="Yes","PwdNeverExpires ","")&amp;IF(AND($S300&lt;&gt;"",$S300&lt;&gt;"None"),"Delegation ","")&amp;IF(AND($Q300=1,$O300="None"),"StaleAdminCount ","")&amp;IF(AND($F300="Yes",$H300=""),"NeverLoggedOn ","")))</f>
        <v/>
      </c>
      <c r="AB300" s="60" t="n"/>
      <c r="AC300" s="61" t="n"/>
      <c r="AD300" s="60" t="n"/>
      <c r="AE300" s="62" t="n"/>
      <c r="AF300" s="62" t="n"/>
      <c r="AG300" s="62" t="n"/>
      <c r="AH300" s="60" t="n"/>
      <c r="AI300" s="61" t="n"/>
      <c r="AJ300" s="63">
        <f>IF($A300="","",IF(AF300="","Not Enrolled",IF(TODAY()&gt;AF300,"Review Overdue",IF(AF300-TODAY()&lt;=30,"Review Due Soon","Active"))))</f>
        <v/>
      </c>
      <c r="AK300" s="63">
        <f>IF($A300="","",IF(AG300="","NOT REVIEWED",IF(TODAY()-AG300&gt;90,"OVERDUE",IF(TODAY()-AG300&gt;76,"Due Soon","Current"))))</f>
        <v/>
      </c>
    </row>
    <row r="301" ht="15" customHeight="1" s="39">
      <c r="A301" s="60" t="n"/>
      <c r="B301" s="60" t="n"/>
      <c r="C301" s="61" t="n"/>
      <c r="D301" s="61" t="n"/>
      <c r="E301" s="60" t="n"/>
      <c r="F301" s="60" t="n"/>
      <c r="G301" s="62" t="n"/>
      <c r="H301" s="62" t="n"/>
      <c r="I301" s="62" t="n"/>
      <c r="J301" s="60" t="n"/>
      <c r="K301" s="60" t="n"/>
      <c r="L301" s="60" t="n"/>
      <c r="M301" s="61" t="n"/>
      <c r="N301" s="60" t="n"/>
      <c r="O301" s="60" t="n"/>
      <c r="P301" s="60" t="n"/>
      <c r="Q301" s="60" t="n"/>
      <c r="R301" s="60" t="n"/>
      <c r="S301" s="60" t="n"/>
      <c r="T301" s="60" t="n"/>
      <c r="U301" s="60" t="n"/>
      <c r="V301" s="60" t="n"/>
      <c r="W301" s="60" t="n"/>
      <c r="X301" s="60" t="n"/>
      <c r="Y301" s="63">
        <f>IF($H301="","",TODAY()-$H301)</f>
        <v/>
      </c>
      <c r="Z301" s="63">
        <f>IF($A301="","",IF(AND($F301="Yes",OR($U301="No",$U301="NOT FOUND")),"YES",""))</f>
        <v/>
      </c>
      <c r="AA301" s="66">
        <f>IF($A301="","",TRIM(IF(AND($P301=0,$L301&lt;&gt;"Yes"),"T0-NoSmartcard ","")&amp;IF(AND($J301&lt;&gt;"",$J301&gt;365),"StalePwd ","")&amp;IF($K301="Yes","PwdNeverExpires ","")&amp;IF(AND($S301&lt;&gt;"",$S301&lt;&gt;"None"),"Delegation ","")&amp;IF(AND($Q301=1,$O301="None"),"StaleAdminCount ","")&amp;IF(AND($F301="Yes",$H301=""),"NeverLoggedOn ","")))</f>
        <v/>
      </c>
      <c r="AB301" s="60" t="n"/>
      <c r="AC301" s="61" t="n"/>
      <c r="AD301" s="60" t="n"/>
      <c r="AE301" s="62" t="n"/>
      <c r="AF301" s="62" t="n"/>
      <c r="AG301" s="62" t="n"/>
      <c r="AH301" s="60" t="n"/>
      <c r="AI301" s="61" t="n"/>
      <c r="AJ301" s="63">
        <f>IF($A301="","",IF(AF301="","Not Enrolled",IF(TODAY()&gt;AF301,"Review Overdue",IF(AF301-TODAY()&lt;=30,"Review Due Soon","Active"))))</f>
        <v/>
      </c>
      <c r="AK301" s="63">
        <f>IF($A301="","",IF(AG301="","NOT REVIEWED",IF(TODAY()-AG301&gt;90,"OVERDUE",IF(TODAY()-AG301&gt;76,"Due Soon","Current"))))</f>
        <v/>
      </c>
    </row>
  </sheetData>
  <autoFilter ref="A1:AK301"/>
  <conditionalFormatting sqref="P2:P301">
    <cfRule type="expression" rank="0" priority="2" equalAverage="0" aboveAverage="0" dxfId="9" text="" percent="0" bottom="0">
      <formula>P2=0</formula>
    </cfRule>
    <cfRule type="expression" rank="0" priority="3" equalAverage="0" aboveAverage="0" dxfId="10" text="" percent="0" bottom="0">
      <formula>P2=1</formula>
    </cfRule>
  </conditionalFormatting>
  <conditionalFormatting sqref="Z2:Z301">
    <cfRule type="expression" rank="0" priority="4" equalAverage="0" aboveAverage="0" dxfId="9" text="" percent="0" bottom="0">
      <formula>Z2="YES"</formula>
    </cfRule>
  </conditionalFormatting>
  <conditionalFormatting sqref="AA2:AA301">
    <cfRule type="expression" rank="0" priority="5" equalAverage="0" aboveAverage="0" dxfId="9" text="" percent="0" bottom="0">
      <formula>ISNUMBER(SEARCH("T0-",AA2))</formula>
    </cfRule>
    <cfRule type="expression" rank="0" priority="6" equalAverage="0" aboveAverage="0" dxfId="10" text="" percent="0" bottom="0">
      <formula>AND(AA2&lt;&gt;"",NOT(ISNUMBER(SEARCH("T0-",AA2))))</formula>
    </cfRule>
  </conditionalFormatting>
  <conditionalFormatting sqref="AJ2:AJ301">
    <cfRule type="expression" rank="0" priority="7" equalAverage="0" aboveAverage="0" dxfId="9" text="" percent="0" bottom="0">
      <formula>OR(AJ2="Review Overdue",AJ2="Not Enrolled")</formula>
    </cfRule>
    <cfRule type="expression" rank="0" priority="8" equalAverage="0" aboveAverage="0" dxfId="10" text="" percent="0" bottom="0">
      <formula>AJ2="Review Due Soon"</formula>
    </cfRule>
    <cfRule type="expression" rank="0" priority="9" equalAverage="0" aboveAverage="0" dxfId="11" text="" percent="0" bottom="0">
      <formula>AJ2="Active"</formula>
    </cfRule>
  </conditionalFormatting>
  <conditionalFormatting sqref="AK2:AK301">
    <cfRule type="expression" rank="0" priority="10" equalAverage="0" aboveAverage="0" dxfId="9" text="" percent="0" bottom="0">
      <formula>OR(AK2="OVERDUE",AK2="NOT REVIEWED")</formula>
    </cfRule>
    <cfRule type="expression" rank="0" priority="11" equalAverage="0" aboveAverage="0" dxfId="10" text="" percent="0" bottom="0">
      <formula>AK2="Due Soon"</formula>
    </cfRule>
  </conditionalFormatting>
  <conditionalFormatting sqref="L2:L301">
    <cfRule type="expression" rank="0" priority="12" equalAverage="0" aboveAverage="0" dxfId="9" text="" percent="0" bottom="0">
      <formula>AND(L2="No",$P2=0)</formula>
    </cfRule>
  </conditionalFormatting>
  <dataValidations count="3">
    <dataValidation sqref="AB2:AB301" showDropDown="0" showInputMessage="0" showErrorMessage="0" allowBlank="1" type="list" errorStyle="warning" operator="between">
      <formula1>Reference!$C$2:$C$7</formula1>
      <formula2>0</formula2>
    </dataValidation>
    <dataValidation sqref="AD2:AD301" showDropDown="0" showInputMessage="0" showErrorMessage="0" allowBlank="1" type="list" errorStyle="warning" operator="between">
      <formula1>Reference!$D$2:$D$7</formula1>
      <formula2>0</formula2>
    </dataValidation>
    <dataValidation sqref="AH2:AH301" showDropDown="0" showInputMessage="0" showErrorMessage="0" allowBlank="1" type="list" errorStyle="warning" operator="between">
      <formula1>Reference!$B$2:$B$8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C00000"/>
    <outlinePr summaryBelow="1" summaryRight="1"/>
    <pageSetUpPr fitToPage="0"/>
  </sheetPr>
  <dimension ref="A1:D32"/>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8" min="1" max="1"/>
    <col width="44" customWidth="1" style="38" min="2" max="2"/>
    <col width="14" customWidth="1" style="38" min="3" max="3"/>
    <col width="74" customWidth="1" style="38" min="4" max="4"/>
  </cols>
  <sheetData>
    <row r="1" ht="19.7" customHeight="1" s="39">
      <c r="A1" s="40" t="inlineStr">
        <is>
          <t>Role tiering model</t>
        </is>
      </c>
    </row>
    <row r="2" ht="15" customHeight="1" s="39">
      <c r="A2" s="49" t="inlineStr">
        <is>
          <t>Reference only. Tiers are assigned by the collection scripts - to change the model, edit the $RoleTiers / $GroupTiers table at the top of each script and re-run.</t>
        </is>
      </c>
    </row>
    <row r="4" ht="15" customHeight="1" s="39">
      <c r="A4" s="68" t="inlineStr">
        <is>
          <t>Tier</t>
        </is>
      </c>
      <c r="B4" s="68" t="inlineStr">
        <is>
          <t>Role / Group</t>
        </is>
      </c>
      <c r="C4" s="68" t="inlineStr">
        <is>
          <t>Plane</t>
        </is>
      </c>
      <c r="D4" s="68" t="inlineStr">
        <is>
          <t>Why this tier</t>
        </is>
      </c>
    </row>
    <row r="5" ht="15" customHeight="1" s="39">
      <c r="A5" s="69" t="n">
        <v>0</v>
      </c>
      <c r="B5" s="70" t="inlineStr">
        <is>
          <t>Global Administrator</t>
        </is>
      </c>
      <c r="C5" s="70" t="inlineStr">
        <is>
          <t>Entra</t>
        </is>
      </c>
      <c r="D5" s="71" t="inlineStr">
        <is>
          <t>Unrestricted control of the tenant.</t>
        </is>
      </c>
    </row>
    <row r="6" ht="15" customHeight="1" s="39">
      <c r="A6" s="69" t="n">
        <v>0</v>
      </c>
      <c r="B6" s="70" t="inlineStr">
        <is>
          <t>Privileged Role Administrator</t>
        </is>
      </c>
      <c r="C6" s="70" t="inlineStr">
        <is>
          <t>Entra</t>
        </is>
      </c>
      <c r="D6" s="71" t="inlineStr">
        <is>
          <t>Can grant any directory role, including Global Administrator.</t>
        </is>
      </c>
    </row>
    <row r="7" ht="15" customHeight="1" s="39">
      <c r="A7" s="69" t="n">
        <v>0</v>
      </c>
      <c r="B7" s="70" t="inlineStr">
        <is>
          <t>Privileged Authentication Administrator</t>
        </is>
      </c>
      <c r="C7" s="70" t="inlineStr">
        <is>
          <t>Entra</t>
        </is>
      </c>
      <c r="D7" s="71" t="inlineStr">
        <is>
          <t>Can reset credentials for any user, including Global Administrators.</t>
        </is>
      </c>
    </row>
    <row r="8" ht="23.85" customHeight="1" s="39">
      <c r="A8" s="69" t="n">
        <v>0</v>
      </c>
      <c r="B8" s="70" t="inlineStr">
        <is>
          <t>Application Administrator</t>
        </is>
      </c>
      <c r="C8" s="70" t="inlineStr">
        <is>
          <t>Entra</t>
        </is>
      </c>
      <c r="D8" s="71" t="inlineStr">
        <is>
          <t>Can add credentials to any service principal, including highly privileged ones. A well-known escalation path to full tenant control.</t>
        </is>
      </c>
    </row>
    <row r="9" ht="15" customHeight="1" s="39">
      <c r="A9" s="69" t="n">
        <v>0</v>
      </c>
      <c r="B9" s="70" t="inlineStr">
        <is>
          <t>Cloud Application Administrator</t>
        </is>
      </c>
      <c r="C9" s="70" t="inlineStr">
        <is>
          <t>Entra</t>
        </is>
      </c>
      <c r="D9" s="71" t="inlineStr">
        <is>
          <t>As above, excluding on-premises application proxy.</t>
        </is>
      </c>
    </row>
    <row r="10" ht="15" customHeight="1" s="39">
      <c r="A10" s="69" t="n">
        <v>0</v>
      </c>
      <c r="B10" s="70" t="inlineStr">
        <is>
          <t>Hybrid Identity Administrator</t>
        </is>
      </c>
      <c r="C10" s="70" t="inlineStr">
        <is>
          <t>Entra</t>
        </is>
      </c>
      <c r="D10" s="71" t="inlineStr">
        <is>
          <t>Controls the sync configuration bridging AD and Entra - compromise reaches both planes.</t>
        </is>
      </c>
    </row>
    <row r="11" ht="15" customHeight="1" s="39">
      <c r="A11" s="69" t="n">
        <v>0</v>
      </c>
      <c r="B11" s="70" t="inlineStr">
        <is>
          <t>Owner</t>
        </is>
      </c>
      <c r="C11" s="70" t="inlineStr">
        <is>
          <t>Azure RBAC</t>
        </is>
      </c>
      <c r="D11" s="71" t="inlineStr">
        <is>
          <t>Full control of the scope including the ability to grant access to others.</t>
        </is>
      </c>
    </row>
    <row r="12" ht="15" customHeight="1" s="39">
      <c r="A12" s="69" t="n">
        <v>0</v>
      </c>
      <c r="B12" s="70" t="inlineStr">
        <is>
          <t>User Access Administrator</t>
        </is>
      </c>
      <c r="C12" s="70" t="inlineStr">
        <is>
          <t>Azure RBAC</t>
        </is>
      </c>
      <c r="D12" s="71" t="inlineStr">
        <is>
          <t>Can grant itself and anyone else any role at the scope.</t>
        </is>
      </c>
    </row>
    <row r="13" ht="15" customHeight="1" s="39">
      <c r="A13" s="69" t="n">
        <v>0</v>
      </c>
      <c r="B13" s="70" t="inlineStr">
        <is>
          <t>Role Based Access Control Administrator</t>
        </is>
      </c>
      <c r="C13" s="70" t="inlineStr">
        <is>
          <t>Azure RBAC</t>
        </is>
      </c>
      <c r="D13" s="71" t="inlineStr">
        <is>
          <t>Can manage role assignments at the scope.</t>
        </is>
      </c>
    </row>
    <row r="14" ht="15" customHeight="1" s="39">
      <c r="A14" s="69" t="n">
        <v>0</v>
      </c>
      <c r="B14" s="70" t="inlineStr">
        <is>
          <t>Domain Admins</t>
        </is>
      </c>
      <c r="C14" s="70" t="inlineStr">
        <is>
          <t>AD</t>
        </is>
      </c>
      <c r="D14" s="71" t="inlineStr">
        <is>
          <t>Full control of the domain.</t>
        </is>
      </c>
    </row>
    <row r="15" ht="15" customHeight="1" s="39">
      <c r="A15" s="69" t="n">
        <v>0</v>
      </c>
      <c r="B15" s="70" t="inlineStr">
        <is>
          <t>Enterprise Admins</t>
        </is>
      </c>
      <c r="C15" s="70" t="inlineStr">
        <is>
          <t>AD</t>
        </is>
      </c>
      <c r="D15" s="71" t="inlineStr">
        <is>
          <t>Full control of the forest.</t>
        </is>
      </c>
    </row>
    <row r="16" ht="15" customHeight="1" s="39">
      <c r="A16" s="69" t="n">
        <v>0</v>
      </c>
      <c r="B16" s="70" t="inlineStr">
        <is>
          <t>Schema Admins</t>
        </is>
      </c>
      <c r="C16" s="70" t="inlineStr">
        <is>
          <t>AD</t>
        </is>
      </c>
      <c r="D16" s="71" t="inlineStr">
        <is>
          <t>Can modify the schema - permanent, forest-wide, effectively irreversible.</t>
        </is>
      </c>
    </row>
    <row r="17" ht="15" customHeight="1" s="39">
      <c r="A17" s="69" t="n">
        <v>0</v>
      </c>
      <c r="B17" s="70" t="inlineStr">
        <is>
          <t>Administrators (builtin)</t>
        </is>
      </c>
      <c r="C17" s="70" t="inlineStr">
        <is>
          <t>AD</t>
        </is>
      </c>
      <c r="D17" s="71" t="inlineStr">
        <is>
          <t>Full control of domain controllers.</t>
        </is>
      </c>
    </row>
    <row r="18" ht="15" customHeight="1" s="39">
      <c r="A18" s="69" t="n">
        <v>0</v>
      </c>
      <c r="B18" s="70" t="inlineStr">
        <is>
          <t>Account Operators</t>
        </is>
      </c>
      <c r="C18" s="70" t="inlineStr">
        <is>
          <t>AD</t>
        </is>
      </c>
      <c r="D18" s="71" t="inlineStr">
        <is>
          <t>Can modify most accounts, including creating new privileged ones.</t>
        </is>
      </c>
    </row>
    <row r="19" ht="15" customHeight="1" s="39">
      <c r="A19" s="69" t="n">
        <v>0</v>
      </c>
      <c r="B19" s="70" t="inlineStr">
        <is>
          <t>Backup Operators</t>
        </is>
      </c>
      <c r="C19" s="70" t="inlineStr">
        <is>
          <t>AD</t>
        </is>
      </c>
      <c r="D19" s="71" t="inlineStr">
        <is>
          <t>Can back up and restore any file including the AD database, yielding every credential.</t>
        </is>
      </c>
    </row>
    <row r="20" ht="15" customHeight="1" s="39">
      <c r="A20" s="69" t="n">
        <v>0</v>
      </c>
      <c r="B20" s="70" t="inlineStr">
        <is>
          <t>Server Operators</t>
        </is>
      </c>
      <c r="C20" s="70" t="inlineStr">
        <is>
          <t>AD</t>
        </is>
      </c>
      <c r="D20" s="71" t="inlineStr">
        <is>
          <t>Can manage services on domain controllers, escalating to SYSTEM.</t>
        </is>
      </c>
    </row>
    <row r="21" ht="15" customHeight="1" s="39">
      <c r="A21" s="69" t="n">
        <v>0</v>
      </c>
      <c r="B21" s="70" t="inlineStr">
        <is>
          <t>Print Operators</t>
        </is>
      </c>
      <c r="C21" s="70" t="inlineStr">
        <is>
          <t>AD</t>
        </is>
      </c>
      <c r="D21" s="71" t="inlineStr">
        <is>
          <t>Can load drivers on domain controllers - a known escalation path.</t>
        </is>
      </c>
    </row>
    <row r="22" ht="15" customHeight="1" s="39">
      <c r="A22" s="69" t="n">
        <v>0</v>
      </c>
      <c r="B22" s="70" t="inlineStr">
        <is>
          <t>DnsAdmins</t>
        </is>
      </c>
      <c r="C22" s="70" t="inlineStr">
        <is>
          <t>AD</t>
        </is>
      </c>
      <c r="D22" s="71" t="inlineStr">
        <is>
          <t>Can load an arbitrary DLL into a service running as SYSTEM on a domain controller.</t>
        </is>
      </c>
    </row>
    <row r="23" ht="15" customHeight="1" s="39">
      <c r="A23" s="69" t="n">
        <v>0</v>
      </c>
      <c r="B23" s="70" t="inlineStr">
        <is>
          <t>Key Admins / Enterprise Key Admins</t>
        </is>
      </c>
      <c r="C23" s="70" t="inlineStr">
        <is>
          <t>AD</t>
        </is>
      </c>
      <c r="D23" s="71" t="inlineStr">
        <is>
          <t>Can manipulate key credentials to impersonate accounts.</t>
        </is>
      </c>
    </row>
    <row r="24" ht="15" customHeight="1" s="39">
      <c r="A24" s="72" t="n">
        <v>1</v>
      </c>
      <c r="B24" s="70" t="inlineStr">
        <is>
          <t>Security Administrator</t>
        </is>
      </c>
      <c r="C24" s="70" t="inlineStr">
        <is>
          <t>Entra</t>
        </is>
      </c>
      <c r="D24" s="71" t="inlineStr">
        <is>
          <t>Broad security configuration control, but cannot directly grant itself more.</t>
        </is>
      </c>
    </row>
    <row r="25" ht="15" customHeight="1" s="39">
      <c r="A25" s="72" t="n">
        <v>1</v>
      </c>
      <c r="B25" s="70" t="inlineStr">
        <is>
          <t>Conditional Access Administrator</t>
        </is>
      </c>
      <c r="C25" s="70" t="inlineStr">
        <is>
          <t>Entra</t>
        </is>
      </c>
      <c r="D25" s="71" t="inlineStr">
        <is>
          <t>Can weaken or bypass access controls tenant-wide.</t>
        </is>
      </c>
    </row>
    <row r="26" ht="15" customHeight="1" s="39">
      <c r="A26" s="72" t="n">
        <v>1</v>
      </c>
      <c r="B26" s="70" t="inlineStr">
        <is>
          <t>User Administrator</t>
        </is>
      </c>
      <c r="C26" s="70" t="inlineStr">
        <is>
          <t>Entra</t>
        </is>
      </c>
      <c r="D26" s="71" t="inlineStr">
        <is>
          <t>Can manage non-admin users and reset their credentials.</t>
        </is>
      </c>
    </row>
    <row r="27" ht="15" customHeight="1" s="39">
      <c r="A27" s="72" t="n">
        <v>1</v>
      </c>
      <c r="B27" s="70" t="inlineStr">
        <is>
          <t>Exchange / SharePoint / Teams / Intune Administrator</t>
        </is>
      </c>
      <c r="C27" s="70" t="inlineStr">
        <is>
          <t>Entra</t>
        </is>
      </c>
      <c r="D27" s="71" t="inlineStr">
        <is>
          <t>Full control of one major workload and its data.</t>
        </is>
      </c>
    </row>
    <row r="28" ht="15" customHeight="1" s="39">
      <c r="A28" s="72" t="n">
        <v>1</v>
      </c>
      <c r="B28" s="70" t="inlineStr">
        <is>
          <t>Contributor</t>
        </is>
      </c>
      <c r="C28" s="70" t="inlineStr">
        <is>
          <t>Azure RBAC</t>
        </is>
      </c>
      <c r="D28" s="71" t="inlineStr">
        <is>
          <t>Full resource control at the scope, but cannot grant access.</t>
        </is>
      </c>
    </row>
    <row r="29" ht="15" customHeight="1" s="39">
      <c r="A29" s="72" t="n">
        <v>1</v>
      </c>
      <c r="B29" s="70" t="inlineStr">
        <is>
          <t>Key Vault Administrator / Secrets Officer</t>
        </is>
      </c>
      <c r="C29" s="70" t="inlineStr">
        <is>
          <t>Azure RBAC</t>
        </is>
      </c>
      <c r="D29" s="71" t="inlineStr">
        <is>
          <t>Access to stored secrets and certificates.</t>
        </is>
      </c>
    </row>
    <row r="30" ht="15" customHeight="1" s="39">
      <c r="A30" s="72" t="n">
        <v>1</v>
      </c>
      <c r="B30" s="70" t="inlineStr">
        <is>
          <t>Group Policy Creator Owners</t>
        </is>
      </c>
      <c r="C30" s="70" t="inlineStr">
        <is>
          <t>AD</t>
        </is>
      </c>
      <c r="D30" s="71" t="inlineStr">
        <is>
          <t>Can create GPOs; escalation depends on where they may be linked.</t>
        </is>
      </c>
    </row>
    <row r="31" ht="15" customHeight="1" s="39">
      <c r="A31" s="72" t="n">
        <v>1</v>
      </c>
      <c r="B31" s="70" t="inlineStr">
        <is>
          <t>Cert Publishers</t>
        </is>
      </c>
      <c r="C31" s="70" t="inlineStr">
        <is>
          <t>AD</t>
        </is>
      </c>
      <c r="D31" s="71" t="inlineStr">
        <is>
          <t>Certificate issuance, which can enable impersonation depending on templates.</t>
        </is>
      </c>
    </row>
    <row r="32" ht="15" customHeight="1" s="39">
      <c r="A32" s="73" t="n">
        <v>2</v>
      </c>
      <c r="B32" s="70" t="inlineStr">
        <is>
          <t>Reader and equivalent read-only roles</t>
        </is>
      </c>
      <c r="C32" s="70" t="inlineStr">
        <is>
          <t>All</t>
        </is>
      </c>
      <c r="D32" s="71" t="inlineStr">
        <is>
          <t>Visibility without change. Still worth inventorying - reconnaissance value.</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38" min="1" max="4"/>
  </cols>
  <sheetData>
    <row r="1" ht="15" customHeight="1" s="39">
      <c r="A1" s="74" t="inlineStr">
        <is>
          <t>Yes / No</t>
        </is>
      </c>
      <c r="B1" s="74" t="inlineStr">
        <is>
          <t>Review Decision</t>
        </is>
      </c>
      <c r="C1" s="74" t="inlineStr">
        <is>
          <t>Access Type</t>
        </is>
      </c>
      <c r="D1" s="74" t="inlineStr">
        <is>
          <t>Decided By</t>
        </is>
      </c>
      <c r="E1" t="inlineStr">
        <is>
          <t>Access Status (computed - reference only)</t>
        </is>
      </c>
      <c r="F1" t="inlineStr">
        <is>
          <t>Review Status (computed - reference only)</t>
        </is>
      </c>
      <c r="G1" t="inlineStr">
        <is>
          <t>Auto-Removal Risk (computed - reference only)</t>
        </is>
      </c>
    </row>
    <row r="2" ht="15" customHeight="1" s="39">
      <c r="A2" s="47" t="inlineStr">
        <is>
          <t>Yes</t>
        </is>
      </c>
      <c r="B2" s="47" t="inlineStr">
        <is>
          <t>Self-Approved</t>
        </is>
      </c>
      <c r="C2" s="47" t="inlineStr">
        <is>
          <t>Permanent (BAU duty)</t>
        </is>
      </c>
      <c r="D2" s="47" t="inlineStr">
        <is>
          <t>Self</t>
        </is>
      </c>
      <c r="E2" t="inlineStr">
        <is>
          <t>Active</t>
        </is>
      </c>
      <c r="F2" t="inlineStr">
        <is>
          <t>Current</t>
        </is>
      </c>
      <c r="G2" t="inlineStr">
        <is>
          <t>Not At Risk</t>
        </is>
      </c>
    </row>
    <row r="3" ht="15" customHeight="1" s="39">
      <c r="A3" s="47" t="inlineStr">
        <is>
          <t>No</t>
        </is>
      </c>
      <c r="B3" s="47" t="inlineStr">
        <is>
          <t>Self-Removed</t>
        </is>
      </c>
      <c r="C3" s="47" t="inlineStr">
        <is>
          <t>Project - time limited</t>
        </is>
      </c>
      <c r="D3" s="47" t="inlineStr">
        <is>
          <t>Auto (No Response)</t>
        </is>
      </c>
      <c r="E3" t="inlineStr">
        <is>
          <t>Review Due Soon</t>
        </is>
      </c>
      <c r="F3" t="inlineStr">
        <is>
          <t>Due Soon</t>
        </is>
      </c>
      <c r="G3" t="inlineStr">
        <is>
          <t>At Risk</t>
        </is>
      </c>
    </row>
    <row r="4" ht="15" customHeight="1" s="39">
      <c r="A4" s="47" t="inlineStr">
        <is>
          <t>Unknown</t>
        </is>
      </c>
      <c r="B4" s="47" t="inlineStr">
        <is>
          <t>Auto-Removed (No Response)</t>
        </is>
      </c>
      <c r="C4" s="47" t="inlineStr">
        <is>
          <t>On-call / rotational</t>
        </is>
      </c>
      <c r="D4" s="47" t="inlineStr">
        <is>
          <t>Escalation Reviewer (Tier 0)</t>
        </is>
      </c>
      <c r="E4" t="inlineStr">
        <is>
          <t>Review Overdue</t>
        </is>
      </c>
      <c r="F4" t="inlineStr">
        <is>
          <t>OVERDUE</t>
        </is>
      </c>
    </row>
    <row r="5" ht="15" customHeight="1" s="39">
      <c r="A5" s="47" t="inlineStr">
        <is>
          <t>N/A</t>
        </is>
      </c>
      <c r="B5" s="47" t="inlineStr">
        <is>
          <t>Escalated - Approved</t>
        </is>
      </c>
      <c r="C5" s="47" t="inlineStr">
        <is>
          <t>Break-glass</t>
        </is>
      </c>
      <c r="D5" s="47" t="inlineStr">
        <is>
          <t>Security Team (Override)</t>
        </is>
      </c>
      <c r="E5" t="inlineStr">
        <is>
          <t>Not Enrolled</t>
        </is>
      </c>
      <c r="F5" t="inlineStr">
        <is>
          <t>NOT REVIEWED</t>
        </is>
      </c>
    </row>
    <row r="6" ht="15" customHeight="1" s="39">
      <c r="B6" s="47" t="inlineStr">
        <is>
          <t>Escalated - Denied</t>
        </is>
      </c>
      <c r="C6" s="47" t="inlineStr">
        <is>
          <t>Vendor / third party</t>
        </is>
      </c>
      <c r="D6" s="47" t="inlineStr">
        <is>
          <t>NOT YET REVIEWED</t>
        </is>
      </c>
    </row>
    <row r="7" ht="15" customHeight="1" s="39">
      <c r="B7" s="47" t="inlineStr">
        <is>
          <t>Pending Review</t>
        </is>
      </c>
      <c r="C7" s="47" t="inlineStr">
        <is>
          <t>Unknown</t>
        </is>
      </c>
      <c r="D7" s="47" t="inlineStr">
        <is>
          <t>N/A</t>
        </is>
      </c>
    </row>
    <row r="8" ht="15" customHeight="1" s="39">
      <c r="B8" s="47" t="inlineStr">
        <is>
          <t>Manual Override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2026-08-14T03:57:55Z</dcterms:created>
  <dcterms:modified xsi:type="dcterms:W3CDTF">2026-08-27T00:56:15Z</dcterms:modified>
  <cp:revision>0</cp:revision>
</cp:coreProperties>
</file>